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il\Desktop\RITIK KHANDELWAL\TRANSPORTS\"/>
    </mc:Choice>
  </mc:AlternateContent>
  <xr:revisionPtr revIDLastSave="0" documentId="13_ncr:1_{91AA157D-C7E2-4409-A9A0-1C3553CA87B1}" xr6:coauthVersionLast="47" xr6:coauthVersionMax="47" xr10:uidLastSave="{00000000-0000-0000-0000-000000000000}"/>
  <bookViews>
    <workbookView xWindow="-108" yWindow="-108" windowWidth="23256" windowHeight="13176" activeTab="1" xr2:uid="{5AEC2534-AFB1-479C-882A-0206DAF6DDFB}"/>
  </bookViews>
  <sheets>
    <sheet name="JUNE 2026" sheetId="1" r:id="rId1"/>
    <sheet name="JULY 2026" sheetId="4" r:id="rId2"/>
    <sheet name="INVOICE CALCULATOR" sheetId="2" r:id="rId3"/>
    <sheet name="RATE CALCULAT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C21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21" i="2" l="1"/>
  <c r="E23" i="2" s="1"/>
  <c r="I2" i="2" s="1"/>
  <c r="I4" i="2" s="1"/>
  <c r="I5" i="2" s="1"/>
  <c r="I7" i="2" l="1"/>
  <c r="I9" i="2"/>
  <c r="I11" i="2" s="1"/>
</calcChain>
</file>

<file path=xl/sharedStrings.xml><?xml version="1.0" encoding="utf-8"?>
<sst xmlns="http://schemas.openxmlformats.org/spreadsheetml/2006/main" count="172" uniqueCount="77">
  <si>
    <t>SEEMA SAREE CENTRE</t>
  </si>
  <si>
    <t>BILTY SUMMARY</t>
  </si>
  <si>
    <t>DATE OF RECEIVING</t>
  </si>
  <si>
    <t>TRANSPORT BILL NO.</t>
  </si>
  <si>
    <t>TRANSPORT NAME</t>
  </si>
  <si>
    <t>LR NO.</t>
  </si>
  <si>
    <t>PM. NO</t>
  </si>
  <si>
    <t>COMPANY</t>
  </si>
  <si>
    <t>LOT</t>
  </si>
  <si>
    <t>TOTAL PARCEL</t>
  </si>
  <si>
    <t>ENTRY IN TALLY</t>
  </si>
  <si>
    <t>DATE OF OPENING</t>
  </si>
  <si>
    <t>DIRECT SALE FROM TRANSPORT</t>
  </si>
  <si>
    <t>DIRECT SALE NOT FROM TRANSPORT</t>
  </si>
  <si>
    <t>CHECKED FROM TRANSPORT</t>
  </si>
  <si>
    <t>OTHER TRANSPORTS</t>
  </si>
  <si>
    <t>YES</t>
  </si>
  <si>
    <t>TOTAL 2 PARCEL</t>
  </si>
  <si>
    <t>TOTAL 5 PARCEL</t>
  </si>
  <si>
    <t xml:space="preserve">APOORVA TRANSPORT </t>
  </si>
  <si>
    <t>S SUMAN KUMAR</t>
  </si>
  <si>
    <t>TOTAL 1 PARCEL</t>
  </si>
  <si>
    <t>RK XPRESS CORPORATION</t>
  </si>
  <si>
    <t>44155/9877</t>
  </si>
  <si>
    <t>44127/9855</t>
  </si>
  <si>
    <t>TOTAL 7 PARCEL</t>
  </si>
  <si>
    <t xml:space="preserve">SURAJ FREIGHT CARRIER PVT LTD </t>
  </si>
  <si>
    <t>SHEETAL FAB TAX</t>
  </si>
  <si>
    <t xml:space="preserve">ANURADHA </t>
  </si>
  <si>
    <t>BHOLA BHAGAT STORE - TARAPUR</t>
  </si>
  <si>
    <t xml:space="preserve"> </t>
  </si>
  <si>
    <t xml:space="preserve"> UC/000436/26-27</t>
  </si>
  <si>
    <t>UNICOTSYN PVT LTD</t>
  </si>
  <si>
    <t>TOTAL 1 PARCLE</t>
  </si>
  <si>
    <t>MAA KALI</t>
  </si>
  <si>
    <t>BENGAL SAREE MUSEUM</t>
  </si>
  <si>
    <t>SURAJ FREIGHT CARRIER PVT LTD</t>
  </si>
  <si>
    <t>ANURADHA TEXTILES</t>
  </si>
  <si>
    <t>SAKSHI SELECTION</t>
  </si>
  <si>
    <t>SL. NO.</t>
  </si>
  <si>
    <t>NAME</t>
  </si>
  <si>
    <t>QUANTITY</t>
  </si>
  <si>
    <t>PRICE</t>
  </si>
  <si>
    <t>TOTAL</t>
  </si>
  <si>
    <t>TAXABLE</t>
  </si>
  <si>
    <t>CGST @ 2.5%</t>
  </si>
  <si>
    <t>SGST @ 2.5%</t>
  </si>
  <si>
    <t>IGST @ 5%</t>
  </si>
  <si>
    <t>ROUND OFF</t>
  </si>
  <si>
    <t>FINAL AMOUNT</t>
  </si>
  <si>
    <t>LESS</t>
  </si>
  <si>
    <t>SHREE AZAD CARGO PRIVATE LIMITED</t>
  </si>
  <si>
    <t>BANKTESH UDYOG</t>
  </si>
  <si>
    <t>AJAY BHAGAT - NATHNAGAR</t>
  </si>
  <si>
    <t>ANURADHA</t>
  </si>
  <si>
    <t>MAA VASTRALAYA - NATHNAGAR</t>
  </si>
  <si>
    <t>RA SELECTION</t>
  </si>
  <si>
    <t>SRC</t>
  </si>
  <si>
    <t>JANHAVI</t>
  </si>
  <si>
    <t>SHIV SWASTIK TEX</t>
  </si>
  <si>
    <t>RADHIKA</t>
  </si>
  <si>
    <t>KOKILA</t>
  </si>
  <si>
    <t>KAMLAPATI</t>
  </si>
  <si>
    <t>RAMDEV</t>
  </si>
  <si>
    <t>NATRAJ SILK MILLS</t>
  </si>
  <si>
    <t>225, 229</t>
  </si>
  <si>
    <t>MAA KAUSHALYA</t>
  </si>
  <si>
    <t>224, 230, 250</t>
  </si>
  <si>
    <t>MISHRI</t>
  </si>
  <si>
    <t>0, 241, 260</t>
  </si>
  <si>
    <t>SAKSHI</t>
  </si>
  <si>
    <t>MOHINI CREATION</t>
  </si>
  <si>
    <t>SITARA STYLE</t>
  </si>
  <si>
    <t>KRISHNA TEXTILE CORPORATION</t>
  </si>
  <si>
    <t>TOTAL 3 PARCEL</t>
  </si>
  <si>
    <t>NAMRATA SAREES</t>
  </si>
  <si>
    <t>JAI 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</si>
</sst>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14" fontId="0" fillId="0" borderId="0" xfId="0" applyNumberFormat="1"/>
    <xf numFmtId="43" fontId="0" fillId="0" borderId="0" xfId="1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43" fontId="5" fillId="2" borderId="3" xfId="1" applyFont="1" applyFill="1" applyBorder="1"/>
    <xf numFmtId="0" fontId="0" fillId="0" borderId="4" xfId="0" applyBorder="1"/>
    <xf numFmtId="0" fontId="0" fillId="0" borderId="5" xfId="0" applyBorder="1"/>
    <xf numFmtId="0" fontId="5" fillId="0" borderId="4" xfId="0" applyFont="1" applyBorder="1"/>
    <xf numFmtId="43" fontId="5" fillId="0" borderId="5" xfId="1" applyFont="1" applyBorder="1"/>
    <xf numFmtId="0" fontId="0" fillId="2" borderId="5" xfId="0" applyFill="1" applyBorder="1"/>
    <xf numFmtId="43" fontId="5" fillId="2" borderId="5" xfId="1" applyFont="1" applyFill="1" applyBorder="1"/>
    <xf numFmtId="0" fontId="5" fillId="0" borderId="6" xfId="0" applyFont="1" applyBorder="1"/>
    <xf numFmtId="43" fontId="5" fillId="2" borderId="7" xfId="1" applyFont="1" applyFill="1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5" fillId="0" borderId="9" xfId="0" applyFont="1" applyBorder="1"/>
    <xf numFmtId="0" fontId="5" fillId="2" borderId="10" xfId="0" applyFont="1" applyFill="1" applyBorder="1"/>
    <xf numFmtId="0" fontId="5" fillId="0" borderId="10" xfId="0" applyFont="1" applyBorder="1"/>
    <xf numFmtId="0" fontId="5" fillId="2" borderId="11" xfId="0" applyFont="1" applyFill="1" applyBorder="1"/>
    <xf numFmtId="2" fontId="5" fillId="2" borderId="11" xfId="0" applyNumberFormat="1" applyFont="1" applyFill="1" applyBorder="1"/>
    <xf numFmtId="0" fontId="0" fillId="0" borderId="0" xfId="0" applyProtection="1">
      <protection locked="0"/>
    </xf>
    <xf numFmtId="0" fontId="5" fillId="3" borderId="10" xfId="0" applyFont="1" applyFill="1" applyBorder="1" applyProtection="1">
      <protection locked="0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B1D6-22FA-4805-85A9-09A7011CC3A8}">
  <dimension ref="A1:M36"/>
  <sheetViews>
    <sheetView topLeftCell="A11" workbookViewId="0">
      <selection activeCell="J21" sqref="J21"/>
    </sheetView>
  </sheetViews>
  <sheetFormatPr defaultRowHeight="14.4" x14ac:dyDescent="0.3"/>
  <cols>
    <col min="1" max="1" width="19.5546875" bestFit="1" customWidth="1"/>
    <col min="2" max="2" width="20.33203125" bestFit="1" customWidth="1"/>
    <col min="3" max="3" width="36.88671875" bestFit="1" customWidth="1"/>
    <col min="4" max="4" width="8" bestFit="1" customWidth="1"/>
    <col min="5" max="5" width="15.88671875" bestFit="1" customWidth="1"/>
    <col min="6" max="6" width="21.33203125" bestFit="1" customWidth="1"/>
    <col min="7" max="7" width="4.44140625" bestFit="1" customWidth="1"/>
    <col min="8" max="8" width="14.44140625" bestFit="1" customWidth="1"/>
    <col min="9" max="9" width="15.44140625" bestFit="1" customWidth="1"/>
    <col min="10" max="10" width="18.109375" bestFit="1" customWidth="1"/>
    <col min="11" max="11" width="30.6640625" bestFit="1" customWidth="1"/>
    <col min="12" max="12" width="35.109375" bestFit="1" customWidth="1"/>
    <col min="13" max="13" width="28" bestFit="1" customWidth="1"/>
  </cols>
  <sheetData>
    <row r="1" spans="1:13" ht="21" x14ac:dyDescent="0.4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1" x14ac:dyDescent="0.4">
      <c r="A2" s="26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8" x14ac:dyDescent="0.3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6" spans="1:13" x14ac:dyDescent="0.3">
      <c r="A6" s="2">
        <v>46175</v>
      </c>
      <c r="B6">
        <v>12149</v>
      </c>
      <c r="C6" t="s">
        <v>19</v>
      </c>
      <c r="E6">
        <v>281</v>
      </c>
      <c r="F6" t="s">
        <v>20</v>
      </c>
      <c r="G6">
        <v>1</v>
      </c>
      <c r="H6" t="s">
        <v>21</v>
      </c>
      <c r="I6" t="s">
        <v>16</v>
      </c>
    </row>
    <row r="8" spans="1:13" x14ac:dyDescent="0.3">
      <c r="A8" s="2">
        <v>46177</v>
      </c>
      <c r="B8">
        <v>7878</v>
      </c>
      <c r="C8" t="s">
        <v>22</v>
      </c>
      <c r="D8">
        <v>263260</v>
      </c>
      <c r="E8">
        <v>13688</v>
      </c>
      <c r="F8" t="s">
        <v>75</v>
      </c>
      <c r="G8">
        <v>1</v>
      </c>
      <c r="I8" t="s">
        <v>16</v>
      </c>
    </row>
    <row r="9" spans="1:13" x14ac:dyDescent="0.3">
      <c r="D9">
        <v>254531</v>
      </c>
      <c r="E9">
        <v>12377</v>
      </c>
      <c r="F9" t="s">
        <v>75</v>
      </c>
      <c r="G9">
        <v>1</v>
      </c>
      <c r="I9" t="s">
        <v>16</v>
      </c>
    </row>
    <row r="10" spans="1:13" x14ac:dyDescent="0.3">
      <c r="D10">
        <v>255487</v>
      </c>
      <c r="E10">
        <v>12531</v>
      </c>
      <c r="F10" t="s">
        <v>75</v>
      </c>
      <c r="G10">
        <v>1</v>
      </c>
      <c r="I10" t="s">
        <v>16</v>
      </c>
    </row>
    <row r="11" spans="1:13" x14ac:dyDescent="0.3">
      <c r="D11">
        <v>263973</v>
      </c>
      <c r="E11">
        <v>13829</v>
      </c>
      <c r="F11" t="s">
        <v>75</v>
      </c>
      <c r="G11">
        <v>1</v>
      </c>
      <c r="I11" t="s">
        <v>16</v>
      </c>
    </row>
    <row r="12" spans="1:13" x14ac:dyDescent="0.3">
      <c r="D12">
        <v>254166</v>
      </c>
      <c r="E12">
        <v>12297</v>
      </c>
      <c r="F12" t="s">
        <v>75</v>
      </c>
      <c r="G12">
        <v>1</v>
      </c>
      <c r="I12" t="s">
        <v>16</v>
      </c>
    </row>
    <row r="13" spans="1:13" x14ac:dyDescent="0.3">
      <c r="D13">
        <v>261119</v>
      </c>
      <c r="E13" t="s">
        <v>23</v>
      </c>
      <c r="F13" t="s">
        <v>76</v>
      </c>
      <c r="G13">
        <v>1</v>
      </c>
      <c r="I13" t="s">
        <v>16</v>
      </c>
    </row>
    <row r="14" spans="1:13" x14ac:dyDescent="0.3">
      <c r="D14">
        <v>261129</v>
      </c>
      <c r="E14" t="s">
        <v>24</v>
      </c>
      <c r="F14" t="s">
        <v>76</v>
      </c>
      <c r="G14">
        <v>1</v>
      </c>
      <c r="H14" t="s">
        <v>25</v>
      </c>
      <c r="I14" t="s">
        <v>16</v>
      </c>
    </row>
    <row r="16" spans="1:13" x14ac:dyDescent="0.3">
      <c r="A16" s="2">
        <v>46178</v>
      </c>
      <c r="B16">
        <v>7125378</v>
      </c>
      <c r="C16" t="s">
        <v>26</v>
      </c>
      <c r="D16">
        <v>6283692</v>
      </c>
      <c r="E16">
        <v>1107</v>
      </c>
      <c r="F16" t="s">
        <v>27</v>
      </c>
      <c r="G16">
        <v>1</v>
      </c>
      <c r="I16" t="s">
        <v>16</v>
      </c>
    </row>
    <row r="17" spans="1:11" x14ac:dyDescent="0.3">
      <c r="B17">
        <v>7125380</v>
      </c>
      <c r="C17" t="s">
        <v>26</v>
      </c>
      <c r="D17">
        <v>6283690</v>
      </c>
      <c r="E17">
        <v>1105</v>
      </c>
      <c r="F17" t="s">
        <v>27</v>
      </c>
      <c r="G17">
        <v>1</v>
      </c>
      <c r="I17" t="s">
        <v>16</v>
      </c>
    </row>
    <row r="18" spans="1:11" x14ac:dyDescent="0.3">
      <c r="B18">
        <v>7125379</v>
      </c>
      <c r="C18" t="s">
        <v>26</v>
      </c>
      <c r="D18">
        <v>6283691</v>
      </c>
      <c r="E18">
        <v>1106</v>
      </c>
      <c r="F18" t="s">
        <v>27</v>
      </c>
      <c r="G18">
        <v>1</v>
      </c>
      <c r="I18" t="s">
        <v>16</v>
      </c>
    </row>
    <row r="19" spans="1:11" x14ac:dyDescent="0.3">
      <c r="B19">
        <v>7125381</v>
      </c>
      <c r="C19" t="s">
        <v>26</v>
      </c>
      <c r="D19">
        <v>6283689</v>
      </c>
      <c r="E19">
        <v>1104</v>
      </c>
      <c r="F19" t="s">
        <v>27</v>
      </c>
      <c r="G19">
        <v>1</v>
      </c>
      <c r="I19" t="s">
        <v>16</v>
      </c>
    </row>
    <row r="20" spans="1:11" x14ac:dyDescent="0.3">
      <c r="B20">
        <v>7125382</v>
      </c>
      <c r="C20" t="s">
        <v>26</v>
      </c>
      <c r="D20">
        <v>6283688</v>
      </c>
      <c r="E20">
        <v>1103</v>
      </c>
      <c r="F20" t="s">
        <v>27</v>
      </c>
      <c r="G20">
        <v>1</v>
      </c>
      <c r="H20" t="s">
        <v>18</v>
      </c>
      <c r="I20" t="s">
        <v>16</v>
      </c>
    </row>
    <row r="22" spans="1:11" x14ac:dyDescent="0.3">
      <c r="A22" s="2">
        <v>46181</v>
      </c>
      <c r="B22">
        <v>7123520</v>
      </c>
      <c r="C22" t="s">
        <v>26</v>
      </c>
      <c r="D22">
        <v>5366737</v>
      </c>
      <c r="E22">
        <v>3699</v>
      </c>
      <c r="F22" t="s">
        <v>28</v>
      </c>
      <c r="G22">
        <v>1</v>
      </c>
      <c r="I22" t="s">
        <v>16</v>
      </c>
      <c r="K22" t="s">
        <v>29</v>
      </c>
    </row>
    <row r="23" spans="1:11" x14ac:dyDescent="0.3">
      <c r="A23" s="2">
        <v>46181</v>
      </c>
      <c r="B23">
        <v>7123521</v>
      </c>
      <c r="C23" t="s">
        <v>26</v>
      </c>
      <c r="D23">
        <v>5366873</v>
      </c>
      <c r="E23">
        <v>4044</v>
      </c>
      <c r="F23" t="s">
        <v>28</v>
      </c>
      <c r="G23">
        <v>1</v>
      </c>
      <c r="I23" t="s">
        <v>16</v>
      </c>
      <c r="K23" t="s">
        <v>29</v>
      </c>
    </row>
    <row r="24" spans="1:11" x14ac:dyDescent="0.3">
      <c r="I24" t="s">
        <v>30</v>
      </c>
    </row>
    <row r="25" spans="1:11" x14ac:dyDescent="0.3">
      <c r="A25" s="2">
        <v>46181</v>
      </c>
      <c r="B25">
        <v>7125459</v>
      </c>
      <c r="C25" t="s">
        <v>26</v>
      </c>
      <c r="D25">
        <v>6283757</v>
      </c>
      <c r="E25" t="s">
        <v>31</v>
      </c>
      <c r="F25" t="s">
        <v>32</v>
      </c>
      <c r="G25">
        <v>1</v>
      </c>
      <c r="H25" t="s">
        <v>33</v>
      </c>
      <c r="I25" t="s">
        <v>16</v>
      </c>
    </row>
    <row r="26" spans="1:11" x14ac:dyDescent="0.3">
      <c r="A26" s="2"/>
    </row>
    <row r="27" spans="1:11" x14ac:dyDescent="0.3">
      <c r="A27" s="2">
        <v>46181</v>
      </c>
      <c r="C27" t="s">
        <v>34</v>
      </c>
      <c r="D27">
        <v>3148</v>
      </c>
      <c r="E27">
        <v>35</v>
      </c>
      <c r="F27" t="s">
        <v>35</v>
      </c>
      <c r="G27">
        <v>1</v>
      </c>
      <c r="H27" t="s">
        <v>21</v>
      </c>
      <c r="I27" t="s">
        <v>16</v>
      </c>
    </row>
    <row r="28" spans="1:11" x14ac:dyDescent="0.3">
      <c r="A28" s="2"/>
    </row>
    <row r="29" spans="1:11" x14ac:dyDescent="0.3">
      <c r="A29" s="2">
        <v>46196</v>
      </c>
      <c r="B29">
        <v>7198749</v>
      </c>
      <c r="C29" t="s">
        <v>36</v>
      </c>
      <c r="D29">
        <v>1785082</v>
      </c>
      <c r="E29">
        <v>4225</v>
      </c>
      <c r="F29" t="s">
        <v>37</v>
      </c>
      <c r="G29">
        <v>1</v>
      </c>
      <c r="H29" t="s">
        <v>21</v>
      </c>
      <c r="I29" t="s">
        <v>16</v>
      </c>
      <c r="K29" t="s">
        <v>29</v>
      </c>
    </row>
    <row r="31" spans="1:11" x14ac:dyDescent="0.3">
      <c r="A31" s="2">
        <v>46197</v>
      </c>
      <c r="C31" t="s">
        <v>34</v>
      </c>
      <c r="E31">
        <v>319</v>
      </c>
      <c r="F31" t="s">
        <v>38</v>
      </c>
      <c r="G31">
        <v>1</v>
      </c>
      <c r="I31" t="s">
        <v>16</v>
      </c>
    </row>
    <row r="32" spans="1:11" x14ac:dyDescent="0.3">
      <c r="E32">
        <v>322</v>
      </c>
      <c r="F32" t="s">
        <v>38</v>
      </c>
      <c r="G32">
        <v>1</v>
      </c>
      <c r="H32" t="s">
        <v>17</v>
      </c>
      <c r="I32" t="s">
        <v>16</v>
      </c>
    </row>
    <row r="34" spans="1:9" x14ac:dyDescent="0.3">
      <c r="A34" s="2">
        <v>46200</v>
      </c>
      <c r="C34" t="s">
        <v>34</v>
      </c>
      <c r="E34">
        <v>328</v>
      </c>
      <c r="F34" t="s">
        <v>38</v>
      </c>
      <c r="G34">
        <v>1</v>
      </c>
      <c r="H34" t="s">
        <v>21</v>
      </c>
      <c r="I34" t="s">
        <v>16</v>
      </c>
    </row>
    <row r="36" spans="1:9" x14ac:dyDescent="0.3">
      <c r="A36" s="2">
        <v>46202</v>
      </c>
      <c r="C36" t="s">
        <v>34</v>
      </c>
      <c r="E36">
        <v>334</v>
      </c>
      <c r="F36" t="s">
        <v>38</v>
      </c>
      <c r="G36">
        <v>1</v>
      </c>
      <c r="H36" t="s">
        <v>21</v>
      </c>
      <c r="I36" t="s">
        <v>16</v>
      </c>
    </row>
  </sheetData>
  <mergeCells count="3">
    <mergeCell ref="A1:M1"/>
    <mergeCell ref="A2:M2"/>
    <mergeCell ref="A3:M3"/>
  </mergeCells>
  <conditionalFormatting sqref="I4">
    <cfRule type="containsText" dxfId="26" priority="7" operator="containsText" text="LEHENGA">
      <formula>NOT(ISERROR(SEARCH("LEHENGA",I4)))</formula>
    </cfRule>
    <cfRule type="containsText" dxfId="25" priority="8" operator="containsText" text="YES">
      <formula>NOT(ISERROR(SEARCH("YES",I4)))</formula>
    </cfRule>
    <cfRule type="containsText" dxfId="24" priority="9" operator="containsText" text="NO">
      <formula>NOT(ISERROR(SEARCH("NO",I4)))</formula>
    </cfRule>
    <cfRule type="containsText" dxfId="23" priority="13" operator="containsText" text="YES">
      <formula>NOT(ISERROR(SEARCH("YES",I4)))</formula>
    </cfRule>
    <cfRule type="containsText" dxfId="22" priority="14" operator="containsText" text="NO">
      <formula>NOT(ISERROR(SEARCH("NO",I4)))</formula>
    </cfRule>
    <cfRule type="containsText" dxfId="21" priority="15" operator="containsText" text="YES">
      <formula>NOT(ISERROR(SEARCH("YES",I4)))</formula>
    </cfRule>
    <cfRule type="containsText" dxfId="20" priority="16" operator="containsText" text="NO">
      <formula>NOT(ISERROR(SEARCH("NO",I4)))</formula>
    </cfRule>
    <cfRule type="containsText" dxfId="19" priority="17" operator="containsText" text="YES">
      <formula>NOT(ISERROR(SEARCH("YES",I4)))</formula>
    </cfRule>
  </conditionalFormatting>
  <conditionalFormatting sqref="I6 I8:I14 I16:I20 I22:I36">
    <cfRule type="containsText" dxfId="18" priority="1" operator="containsText" text="LEHENGA">
      <formula>NOT(ISERROR(SEARCH("LEHENGA",I6)))</formula>
    </cfRule>
    <cfRule type="containsText" dxfId="17" priority="2" operator="containsText" text="YES">
      <formula>NOT(ISERROR(SEARCH("YES",I6)))</formula>
    </cfRule>
    <cfRule type="containsText" dxfId="16" priority="3" operator="containsText" text="NO">
      <formula>NOT(ISERROR(SEARCH("NO",I6)))</formula>
    </cfRule>
  </conditionalFormatting>
  <conditionalFormatting sqref="M4">
    <cfRule type="cellIs" dxfId="15" priority="10" operator="equal">
      <formula>"OK"</formula>
    </cfRule>
    <cfRule type="cellIs" dxfId="14" priority="11" operator="equal">
      <formula>"YES"</formula>
    </cfRule>
    <cfRule type="cellIs" dxfId="13" priority="12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136E-DEA6-4698-98C6-F921E9FD75E2}">
  <dimension ref="A1:M15"/>
  <sheetViews>
    <sheetView tabSelected="1" workbookViewId="0">
      <selection activeCell="J17" sqref="J17"/>
    </sheetView>
  </sheetViews>
  <sheetFormatPr defaultRowHeight="14.4" x14ac:dyDescent="0.3"/>
  <cols>
    <col min="1" max="1" width="19.5546875" bestFit="1" customWidth="1"/>
    <col min="2" max="2" width="20.33203125" bestFit="1" customWidth="1"/>
    <col min="3" max="3" width="31.88671875" bestFit="1" customWidth="1"/>
    <col min="4" max="4" width="8" bestFit="1" customWidth="1"/>
    <col min="6" max="6" width="27.88671875" bestFit="1" customWidth="1"/>
    <col min="7" max="7" width="4.44140625" bestFit="1" customWidth="1"/>
    <col min="8" max="8" width="14.44140625" bestFit="1" customWidth="1"/>
    <col min="9" max="9" width="15.44140625" bestFit="1" customWidth="1"/>
    <col min="10" max="10" width="18.109375" bestFit="1" customWidth="1"/>
    <col min="11" max="11" width="30.6640625" bestFit="1" customWidth="1"/>
    <col min="12" max="12" width="35.109375" bestFit="1" customWidth="1"/>
    <col min="13" max="13" width="28" bestFit="1" customWidth="1"/>
  </cols>
  <sheetData>
    <row r="1" spans="1:13" ht="21" x14ac:dyDescent="0.4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1" x14ac:dyDescent="0.4">
      <c r="A2" s="26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8" x14ac:dyDescent="0.3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6" spans="1:13" x14ac:dyDescent="0.3">
      <c r="A6" s="2">
        <v>46204</v>
      </c>
      <c r="B6">
        <v>1359018</v>
      </c>
      <c r="C6" t="s">
        <v>51</v>
      </c>
      <c r="D6">
        <v>900356</v>
      </c>
      <c r="E6">
        <v>601</v>
      </c>
      <c r="F6" t="s">
        <v>52</v>
      </c>
      <c r="G6">
        <v>1</v>
      </c>
      <c r="I6" t="s">
        <v>16</v>
      </c>
      <c r="J6" s="2">
        <v>46204</v>
      </c>
      <c r="K6" t="s">
        <v>53</v>
      </c>
    </row>
    <row r="7" spans="1:13" x14ac:dyDescent="0.3">
      <c r="B7">
        <v>1359019</v>
      </c>
      <c r="C7" t="s">
        <v>51</v>
      </c>
      <c r="D7">
        <v>900405</v>
      </c>
      <c r="E7">
        <v>602</v>
      </c>
      <c r="F7" t="s">
        <v>52</v>
      </c>
      <c r="G7">
        <v>1</v>
      </c>
      <c r="H7" t="s">
        <v>17</v>
      </c>
      <c r="I7" t="s">
        <v>16</v>
      </c>
      <c r="J7" s="2">
        <v>46204</v>
      </c>
      <c r="K7" t="s">
        <v>53</v>
      </c>
    </row>
    <row r="9" spans="1:13" x14ac:dyDescent="0.3">
      <c r="A9" s="2">
        <v>46205</v>
      </c>
      <c r="B9">
        <v>7203087</v>
      </c>
      <c r="C9" t="s">
        <v>36</v>
      </c>
      <c r="D9">
        <v>5377292</v>
      </c>
      <c r="E9">
        <v>5475</v>
      </c>
      <c r="F9" t="s">
        <v>54</v>
      </c>
      <c r="G9">
        <v>2</v>
      </c>
      <c r="I9" t="s">
        <v>16</v>
      </c>
      <c r="J9" s="2"/>
    </row>
    <row r="10" spans="1:13" x14ac:dyDescent="0.3">
      <c r="A10" s="2">
        <v>46205</v>
      </c>
      <c r="B10">
        <v>7203088</v>
      </c>
      <c r="C10" t="s">
        <v>36</v>
      </c>
      <c r="D10">
        <v>5377359</v>
      </c>
      <c r="E10">
        <v>5568</v>
      </c>
      <c r="F10" t="s">
        <v>54</v>
      </c>
      <c r="G10">
        <v>2</v>
      </c>
      <c r="I10" t="s">
        <v>16</v>
      </c>
      <c r="J10" s="2">
        <v>46205</v>
      </c>
      <c r="K10" t="s">
        <v>29</v>
      </c>
    </row>
    <row r="11" spans="1:13" x14ac:dyDescent="0.3">
      <c r="A11" s="2">
        <v>46205</v>
      </c>
      <c r="B11">
        <v>7203145</v>
      </c>
      <c r="C11" t="s">
        <v>36</v>
      </c>
      <c r="D11">
        <v>5377291</v>
      </c>
      <c r="E11">
        <v>5476</v>
      </c>
      <c r="F11" t="s">
        <v>54</v>
      </c>
      <c r="G11">
        <v>1</v>
      </c>
      <c r="H11" t="s">
        <v>18</v>
      </c>
      <c r="I11" t="s">
        <v>16</v>
      </c>
      <c r="J11" s="2">
        <v>46205</v>
      </c>
      <c r="K11" t="s">
        <v>55</v>
      </c>
    </row>
    <row r="13" spans="1:13" x14ac:dyDescent="0.3">
      <c r="A13" s="2">
        <v>46206</v>
      </c>
      <c r="B13">
        <v>7200628</v>
      </c>
      <c r="C13" t="s">
        <v>36</v>
      </c>
      <c r="D13">
        <v>6303189</v>
      </c>
      <c r="E13">
        <v>49675</v>
      </c>
      <c r="F13" t="s">
        <v>73</v>
      </c>
      <c r="G13">
        <v>1</v>
      </c>
      <c r="I13" t="s">
        <v>16</v>
      </c>
    </row>
    <row r="14" spans="1:13" x14ac:dyDescent="0.3">
      <c r="A14" s="2">
        <v>46206</v>
      </c>
      <c r="B14">
        <v>7200629</v>
      </c>
      <c r="C14" t="s">
        <v>36</v>
      </c>
      <c r="D14">
        <v>6303188</v>
      </c>
      <c r="E14">
        <v>49673</v>
      </c>
      <c r="F14" t="s">
        <v>73</v>
      </c>
      <c r="G14">
        <v>1</v>
      </c>
      <c r="I14" t="s">
        <v>16</v>
      </c>
    </row>
    <row r="15" spans="1:13" x14ac:dyDescent="0.3">
      <c r="A15" s="2">
        <v>46206</v>
      </c>
      <c r="B15">
        <v>7200629</v>
      </c>
      <c r="C15" t="s">
        <v>36</v>
      </c>
      <c r="D15">
        <v>6303188</v>
      </c>
      <c r="E15">
        <v>49674</v>
      </c>
      <c r="F15" t="s">
        <v>73</v>
      </c>
      <c r="G15">
        <v>1</v>
      </c>
      <c r="H15" t="s">
        <v>74</v>
      </c>
      <c r="I15" t="s">
        <v>16</v>
      </c>
    </row>
  </sheetData>
  <mergeCells count="3">
    <mergeCell ref="A1:M1"/>
    <mergeCell ref="A2:M2"/>
    <mergeCell ref="A3:M3"/>
  </mergeCells>
  <conditionalFormatting sqref="I1:I1048576 K7 K10:K11">
    <cfRule type="cellIs" dxfId="12" priority="1" operator="equal">
      <formula>"YES"</formula>
    </cfRule>
    <cfRule type="cellIs" dxfId="11" priority="2" operator="equal">
      <formula>"NO"</formula>
    </cfRule>
  </conditionalFormatting>
  <conditionalFormatting sqref="I4">
    <cfRule type="containsText" dxfId="10" priority="3" operator="containsText" text="LEHENGA">
      <formula>NOT(ISERROR(SEARCH("LEHENGA",I4)))</formula>
    </cfRule>
    <cfRule type="containsText" dxfId="9" priority="4" operator="containsText" text="YES">
      <formula>NOT(ISERROR(SEARCH("YES",I4)))</formula>
    </cfRule>
    <cfRule type="containsText" dxfId="8" priority="5" operator="containsText" text="NO">
      <formula>NOT(ISERROR(SEARCH("NO",I4)))</formula>
    </cfRule>
    <cfRule type="containsText" dxfId="7" priority="9" operator="containsText" text="YES">
      <formula>NOT(ISERROR(SEARCH("YES",I4)))</formula>
    </cfRule>
    <cfRule type="containsText" dxfId="6" priority="10" operator="containsText" text="NO">
      <formula>NOT(ISERROR(SEARCH("NO",I4)))</formula>
    </cfRule>
    <cfRule type="containsText" dxfId="5" priority="11" operator="containsText" text="YES">
      <formula>NOT(ISERROR(SEARCH("YES",I4)))</formula>
    </cfRule>
    <cfRule type="containsText" dxfId="4" priority="12" operator="containsText" text="NO">
      <formula>NOT(ISERROR(SEARCH("NO",I4)))</formula>
    </cfRule>
    <cfRule type="containsText" dxfId="3" priority="13" operator="containsText" text="YES">
      <formula>NOT(ISERROR(SEARCH("YES",I4)))</formula>
    </cfRule>
  </conditionalFormatting>
  <conditionalFormatting sqref="M4">
    <cfRule type="cellIs" dxfId="2" priority="6" operator="equal">
      <formula>"OK"</formula>
    </cfRule>
    <cfRule type="cellIs" dxfId="1" priority="7" operator="equal">
      <formula>"YES"</formula>
    </cfRule>
    <cfRule type="cellIs" dxfId="0" priority="8" operator="equal">
      <formula>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35AF-6B26-4EB3-BA32-9526E10DBA3E}">
  <dimension ref="A1:I25"/>
  <sheetViews>
    <sheetView topLeftCell="A2" zoomScale="115" zoomScaleNormal="115" workbookViewId="0">
      <selection activeCell="P10" sqref="P10"/>
    </sheetView>
  </sheetViews>
  <sheetFormatPr defaultRowHeight="14.4" x14ac:dyDescent="0.3"/>
  <cols>
    <col min="1" max="1" width="7.109375" bestFit="1" customWidth="1"/>
    <col min="2" max="2" width="17.5546875" customWidth="1"/>
    <col min="8" max="8" width="15.44140625" customWidth="1"/>
    <col min="9" max="9" width="11.77734375" customWidth="1"/>
    <col min="17" max="17" width="13.5546875" bestFit="1" customWidth="1"/>
  </cols>
  <sheetData>
    <row r="1" spans="1:9" ht="15" thickBot="1" x14ac:dyDescent="0.35">
      <c r="I1" s="3"/>
    </row>
    <row r="2" spans="1:9" x14ac:dyDescent="0.3">
      <c r="A2" s="4" t="s">
        <v>39</v>
      </c>
      <c r="B2" s="5" t="s">
        <v>40</v>
      </c>
      <c r="C2" s="5" t="s">
        <v>41</v>
      </c>
      <c r="D2" s="5" t="s">
        <v>42</v>
      </c>
      <c r="E2" s="6" t="s">
        <v>43</v>
      </c>
      <c r="H2" s="4" t="s">
        <v>44</v>
      </c>
      <c r="I2" s="7">
        <f>SUM(E3:E18)-E23</f>
        <v>14952</v>
      </c>
    </row>
    <row r="3" spans="1:9" x14ac:dyDescent="0.3">
      <c r="A3" s="8"/>
      <c r="E3" s="9"/>
      <c r="H3" s="10"/>
      <c r="I3" s="11"/>
    </row>
    <row r="4" spans="1:9" ht="16.2" customHeight="1" x14ac:dyDescent="0.3">
      <c r="A4" s="8">
        <v>1</v>
      </c>
      <c r="B4" s="24"/>
      <c r="C4" s="24">
        <v>6</v>
      </c>
      <c r="D4" s="24">
        <v>1199</v>
      </c>
      <c r="E4" s="12">
        <f t="shared" ref="E4:E18" si="0">C4*D4</f>
        <v>7194</v>
      </c>
      <c r="H4" s="10" t="s">
        <v>45</v>
      </c>
      <c r="I4" s="13">
        <f>I2*2.5%</f>
        <v>373.8</v>
      </c>
    </row>
    <row r="5" spans="1:9" x14ac:dyDescent="0.3">
      <c r="A5" s="8">
        <v>2</v>
      </c>
      <c r="B5" s="24"/>
      <c r="C5" s="24">
        <v>6</v>
      </c>
      <c r="D5" s="24">
        <v>1293</v>
      </c>
      <c r="E5" s="12">
        <f t="shared" si="0"/>
        <v>7758</v>
      </c>
      <c r="H5" s="10" t="s">
        <v>46</v>
      </c>
      <c r="I5" s="13">
        <f>I4</f>
        <v>373.8</v>
      </c>
    </row>
    <row r="6" spans="1:9" x14ac:dyDescent="0.3">
      <c r="A6" s="8">
        <v>3</v>
      </c>
      <c r="B6" s="24"/>
      <c r="C6" s="24"/>
      <c r="D6" s="24"/>
      <c r="E6" s="12">
        <f t="shared" si="0"/>
        <v>0</v>
      </c>
      <c r="H6" s="10"/>
      <c r="I6" s="11"/>
    </row>
    <row r="7" spans="1:9" x14ac:dyDescent="0.3">
      <c r="A7" s="8">
        <v>4</v>
      </c>
      <c r="B7" s="24"/>
      <c r="C7" s="24"/>
      <c r="D7" s="24"/>
      <c r="E7" s="12">
        <f t="shared" si="0"/>
        <v>0</v>
      </c>
      <c r="H7" s="10" t="s">
        <v>47</v>
      </c>
      <c r="I7" s="13">
        <f>I2*5%</f>
        <v>747.6</v>
      </c>
    </row>
    <row r="8" spans="1:9" x14ac:dyDescent="0.3">
      <c r="A8" s="8">
        <v>5</v>
      </c>
      <c r="B8" s="24"/>
      <c r="C8" s="24"/>
      <c r="D8" s="24"/>
      <c r="E8" s="12">
        <f t="shared" si="0"/>
        <v>0</v>
      </c>
      <c r="H8" s="10"/>
      <c r="I8" s="11"/>
    </row>
    <row r="9" spans="1:9" x14ac:dyDescent="0.3">
      <c r="A9" s="8">
        <v>6</v>
      </c>
      <c r="B9" s="24"/>
      <c r="C9" s="24"/>
      <c r="D9" s="24"/>
      <c r="E9" s="12">
        <f t="shared" si="0"/>
        <v>0</v>
      </c>
      <c r="H9" s="10" t="s">
        <v>48</v>
      </c>
      <c r="I9" s="13">
        <f>ROUND((I2+I4+I5), 0)-(I2+I4+I5)</f>
        <v>0.40000000000145519</v>
      </c>
    </row>
    <row r="10" spans="1:9" x14ac:dyDescent="0.3">
      <c r="A10" s="8">
        <v>7</v>
      </c>
      <c r="B10" s="24"/>
      <c r="C10" s="24"/>
      <c r="D10" s="24"/>
      <c r="E10" s="12">
        <f t="shared" si="0"/>
        <v>0</v>
      </c>
      <c r="H10" s="10"/>
      <c r="I10" s="11"/>
    </row>
    <row r="11" spans="1:9" ht="15" thickBot="1" x14ac:dyDescent="0.35">
      <c r="A11" s="8">
        <v>8</v>
      </c>
      <c r="B11" s="24"/>
      <c r="C11" s="24"/>
      <c r="D11" s="24"/>
      <c r="E11" s="12">
        <f t="shared" si="0"/>
        <v>0</v>
      </c>
      <c r="H11" s="14" t="s">
        <v>49</v>
      </c>
      <c r="I11" s="15">
        <f>I2+I4+I5+I9</f>
        <v>15700</v>
      </c>
    </row>
    <row r="12" spans="1:9" x14ac:dyDescent="0.3">
      <c r="A12" s="8">
        <v>9</v>
      </c>
      <c r="B12" s="24"/>
      <c r="C12" s="24"/>
      <c r="D12" s="24"/>
      <c r="E12" s="12">
        <f t="shared" si="0"/>
        <v>0</v>
      </c>
      <c r="I12" s="3"/>
    </row>
    <row r="13" spans="1:9" x14ac:dyDescent="0.3">
      <c r="A13" s="8">
        <v>10</v>
      </c>
      <c r="B13" s="24"/>
      <c r="C13" s="24"/>
      <c r="D13" s="24"/>
      <c r="E13" s="12">
        <f t="shared" si="0"/>
        <v>0</v>
      </c>
      <c r="I13" s="3"/>
    </row>
    <row r="14" spans="1:9" x14ac:dyDescent="0.3">
      <c r="A14" s="8">
        <v>11</v>
      </c>
      <c r="B14" s="24"/>
      <c r="C14" s="24"/>
      <c r="D14" s="24"/>
      <c r="E14" s="12">
        <f t="shared" si="0"/>
        <v>0</v>
      </c>
      <c r="I14" s="3"/>
    </row>
    <row r="15" spans="1:9" x14ac:dyDescent="0.3">
      <c r="A15" s="8">
        <v>12</v>
      </c>
      <c r="B15" s="24"/>
      <c r="C15" s="24"/>
      <c r="D15" s="24"/>
      <c r="E15" s="12">
        <f t="shared" si="0"/>
        <v>0</v>
      </c>
      <c r="I15" s="3"/>
    </row>
    <row r="16" spans="1:9" x14ac:dyDescent="0.3">
      <c r="A16" s="8">
        <v>13</v>
      </c>
      <c r="B16" s="24"/>
      <c r="C16" s="24"/>
      <c r="D16" s="24"/>
      <c r="E16" s="12">
        <f t="shared" si="0"/>
        <v>0</v>
      </c>
      <c r="I16" s="3"/>
    </row>
    <row r="17" spans="1:9" x14ac:dyDescent="0.3">
      <c r="A17" s="8">
        <v>14</v>
      </c>
      <c r="B17" s="24"/>
      <c r="C17" s="24"/>
      <c r="D17" s="24"/>
      <c r="E17" s="12">
        <f t="shared" si="0"/>
        <v>0</v>
      </c>
      <c r="I17" s="3"/>
    </row>
    <row r="18" spans="1:9" x14ac:dyDescent="0.3">
      <c r="A18" s="8">
        <v>15</v>
      </c>
      <c r="B18" s="24"/>
      <c r="C18" s="24"/>
      <c r="D18" s="24"/>
      <c r="E18" s="12">
        <f t="shared" si="0"/>
        <v>0</v>
      </c>
      <c r="I18" s="3"/>
    </row>
    <row r="19" spans="1:9" ht="15" thickBot="1" x14ac:dyDescent="0.35">
      <c r="A19" s="16"/>
      <c r="B19" s="17"/>
      <c r="C19" s="17"/>
      <c r="D19" s="17"/>
      <c r="E19" s="18"/>
      <c r="I19" s="3"/>
    </row>
    <row r="20" spans="1:9" ht="15" thickBot="1" x14ac:dyDescent="0.35">
      <c r="D20" t="s">
        <v>30</v>
      </c>
      <c r="I20" s="3"/>
    </row>
    <row r="21" spans="1:9" ht="15" thickBot="1" x14ac:dyDescent="0.35">
      <c r="B21" s="19" t="s">
        <v>43</v>
      </c>
      <c r="C21" s="20">
        <f>SUM(C4:C18)</f>
        <v>12</v>
      </c>
      <c r="D21" s="21"/>
      <c r="E21" s="22">
        <f>SUM(E4:E18)</f>
        <v>14952</v>
      </c>
      <c r="I21" s="3"/>
    </row>
    <row r="22" spans="1:9" ht="15" thickBot="1" x14ac:dyDescent="0.35">
      <c r="I22" s="3"/>
    </row>
    <row r="23" spans="1:9" ht="15" thickBot="1" x14ac:dyDescent="0.35">
      <c r="B23" s="19" t="s">
        <v>50</v>
      </c>
      <c r="C23" s="21"/>
      <c r="D23" s="25"/>
      <c r="E23" s="23">
        <f>E21*D23%</f>
        <v>0</v>
      </c>
      <c r="I23" s="3"/>
    </row>
    <row r="24" spans="1:9" ht="15" thickBot="1" x14ac:dyDescent="0.35">
      <c r="I24" s="3"/>
    </row>
    <row r="25" spans="1:9" ht="15" thickBot="1" x14ac:dyDescent="0.35">
      <c r="B25" s="19" t="s">
        <v>44</v>
      </c>
      <c r="C25" s="21"/>
      <c r="D25" s="25">
        <v>100</v>
      </c>
      <c r="E25" s="22">
        <f>ROUND(D25/1.05, 0)</f>
        <v>95</v>
      </c>
      <c r="I25" s="3"/>
    </row>
  </sheetData>
  <sheetProtection algorithmName="SHA-512" hashValue="ujS3KPs0HKUQyggQN8K2SGWR23Lhv9lsAeVuPvBF8GdGiVQWwx8jyamEzDIoGm2Mm+AhbQmpHU6q6PtohC+wLQ==" saltValue="HzRM9TY+WXp0SUEehgoG6Q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16C2-AF4D-4CC0-AA56-442315597FC8}">
  <dimension ref="C5:D20"/>
  <sheetViews>
    <sheetView workbookViewId="0">
      <selection activeCell="M15" sqref="M15"/>
    </sheetView>
  </sheetViews>
  <sheetFormatPr defaultRowHeight="14.4" x14ac:dyDescent="0.3"/>
  <sheetData>
    <row r="5" spans="3:4" x14ac:dyDescent="0.3">
      <c r="C5" t="s">
        <v>56</v>
      </c>
    </row>
    <row r="6" spans="3:4" x14ac:dyDescent="0.3">
      <c r="C6" t="s">
        <v>57</v>
      </c>
    </row>
    <row r="7" spans="3:4" x14ac:dyDescent="0.3">
      <c r="C7" t="s">
        <v>58</v>
      </c>
    </row>
    <row r="8" spans="3:4" x14ac:dyDescent="0.3">
      <c r="C8" t="s">
        <v>57</v>
      </c>
    </row>
    <row r="9" spans="3:4" x14ac:dyDescent="0.3">
      <c r="C9" t="s">
        <v>59</v>
      </c>
      <c r="D9" t="s">
        <v>69</v>
      </c>
    </row>
    <row r="10" spans="3:4" x14ac:dyDescent="0.3">
      <c r="C10" t="s">
        <v>60</v>
      </c>
    </row>
    <row r="11" spans="3:4" x14ac:dyDescent="0.3">
      <c r="C11" t="s">
        <v>61</v>
      </c>
    </row>
    <row r="12" spans="3:4" x14ac:dyDescent="0.3">
      <c r="C12" t="s">
        <v>62</v>
      </c>
      <c r="D12" t="s">
        <v>67</v>
      </c>
    </row>
    <row r="13" spans="3:4" x14ac:dyDescent="0.3">
      <c r="C13" t="s">
        <v>63</v>
      </c>
      <c r="D13" t="s">
        <v>65</v>
      </c>
    </row>
    <row r="14" spans="3:4" x14ac:dyDescent="0.3">
      <c r="C14" t="s">
        <v>64</v>
      </c>
    </row>
    <row r="15" spans="3:4" x14ac:dyDescent="0.3">
      <c r="C15" t="s">
        <v>66</v>
      </c>
    </row>
    <row r="16" spans="3:4" x14ac:dyDescent="0.3">
      <c r="C16" t="s">
        <v>68</v>
      </c>
    </row>
    <row r="17" spans="3:3" x14ac:dyDescent="0.3">
      <c r="C17" t="s">
        <v>70</v>
      </c>
    </row>
    <row r="18" spans="3:3" x14ac:dyDescent="0.3">
      <c r="C18" t="s">
        <v>71</v>
      </c>
    </row>
    <row r="19" spans="3:3" x14ac:dyDescent="0.3">
      <c r="C19" t="s">
        <v>56</v>
      </c>
    </row>
    <row r="20" spans="3:3" x14ac:dyDescent="0.3">
      <c r="C2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2026</vt:lpstr>
      <vt:lpstr>JULY 2026</vt:lpstr>
      <vt:lpstr>INVOICE CALCULATOR</vt:lpstr>
      <vt:lpstr>RATE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Jain</dc:creator>
  <cp:lastModifiedBy>Kapil Jain</cp:lastModifiedBy>
  <dcterms:created xsi:type="dcterms:W3CDTF">2026-06-30T14:52:38Z</dcterms:created>
  <dcterms:modified xsi:type="dcterms:W3CDTF">2026-07-09T06:58:26Z</dcterms:modified>
</cp:coreProperties>
</file>