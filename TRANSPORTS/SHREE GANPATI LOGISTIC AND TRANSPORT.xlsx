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NSPORTS\"/>
    </mc:Choice>
  </mc:AlternateContent>
  <xr:revisionPtr revIDLastSave="0" documentId="13_ncr:1_{CA7E2BBC-2E69-41AC-869E-7027441D077A}" xr6:coauthVersionLast="47" xr6:coauthVersionMax="47" xr10:uidLastSave="{00000000-0000-0000-0000-000000000000}"/>
  <bookViews>
    <workbookView xWindow="-108" yWindow="-108" windowWidth="23256" windowHeight="13176" xr2:uid="{318E46D1-7443-436B-A252-67B114A40C51}"/>
  </bookViews>
  <sheets>
    <sheet name="SUMMARY" sheetId="2" r:id="rId1"/>
    <sheet name="INVOICE CALCULATOR" sheetId="5" r:id="rId2"/>
    <sheet name="JUNE 2026" sheetId="1" r:id="rId3"/>
    <sheet name="JULY 2026" sheetId="4" r:id="rId4"/>
    <sheet name="AUGUST 2026" sheetId="6" r:id="rId5"/>
    <sheet name="SEPTEMBER 2026" sheetId="7" r:id="rId6"/>
    <sheet name="OCTOBER 2026" sheetId="8" r:id="rId7"/>
    <sheet name="NOVEMBER 2026" sheetId="9" r:id="rId8"/>
    <sheet name="DECEMBER 2026" sheetId="10" r:id="rId9"/>
    <sheet name="JANUARY 2027" sheetId="11" r:id="rId10"/>
    <sheet name="FEBRUARY 2027" sheetId="12" r:id="rId11"/>
    <sheet name="MARCH 2027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G15" i="2" s="1"/>
  <c r="C15" i="2"/>
  <c r="F15" i="2" s="1"/>
  <c r="B15" i="2"/>
  <c r="D14" i="2"/>
  <c r="G14" i="2" s="1"/>
  <c r="C14" i="2"/>
  <c r="F14" i="2"/>
  <c r="B14" i="2"/>
  <c r="D13" i="2"/>
  <c r="G13" i="2" s="1"/>
  <c r="C13" i="2"/>
  <c r="B13" i="2"/>
  <c r="D12" i="2"/>
  <c r="G12" i="2" s="1"/>
  <c r="C12" i="2"/>
  <c r="F12" i="2"/>
  <c r="B12" i="2"/>
  <c r="D11" i="2"/>
  <c r="G11" i="2" s="1"/>
  <c r="C11" i="2"/>
  <c r="F11" i="2" s="1"/>
  <c r="B11" i="2"/>
  <c r="D10" i="2"/>
  <c r="G10" i="2" s="1"/>
  <c r="C10" i="2"/>
  <c r="F10" i="2" s="1"/>
  <c r="B10" i="2"/>
  <c r="D9" i="2"/>
  <c r="G9" i="2" s="1"/>
  <c r="C9" i="2"/>
  <c r="F9" i="2" s="1"/>
  <c r="B9" i="2"/>
  <c r="D8" i="2"/>
  <c r="G8" i="2" s="1"/>
  <c r="C8" i="2"/>
  <c r="F8" i="2" s="1"/>
  <c r="B8" i="2"/>
  <c r="D7" i="2"/>
  <c r="G7" i="2" s="1"/>
  <c r="C7" i="2"/>
  <c r="F7" i="2" s="1"/>
  <c r="B7" i="2"/>
  <c r="D6" i="2"/>
  <c r="C6" i="2"/>
  <c r="F6" i="2" s="1"/>
  <c r="B6" i="2"/>
  <c r="E25" i="5"/>
  <c r="C21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G6" i="2"/>
  <c r="H15" i="2" l="1"/>
  <c r="E15" i="2"/>
  <c r="H14" i="2"/>
  <c r="E14" i="2"/>
  <c r="E13" i="2"/>
  <c r="F13" i="2"/>
  <c r="H13" i="2" s="1"/>
  <c r="H12" i="2"/>
  <c r="E12" i="2"/>
  <c r="H11" i="2"/>
  <c r="E11" i="2"/>
  <c r="H10" i="2"/>
  <c r="E10" i="2"/>
  <c r="H9" i="2"/>
  <c r="E9" i="2"/>
  <c r="H8" i="2"/>
  <c r="E8" i="2"/>
  <c r="E7" i="2"/>
  <c r="E21" i="5"/>
  <c r="E23" i="5" s="1"/>
  <c r="I2" i="5" s="1"/>
  <c r="I7" i="5" s="1"/>
  <c r="E6" i="2"/>
  <c r="H6" i="2"/>
  <c r="H7" i="2"/>
  <c r="E17" i="2" l="1"/>
  <c r="I4" i="5"/>
  <c r="I5" i="5" s="1"/>
  <c r="I9" i="5" l="1"/>
  <c r="I11" i="5" s="1"/>
  <c r="B17" i="2"/>
  <c r="H17" i="2"/>
  <c r="G17" i="2"/>
  <c r="F17" i="2"/>
  <c r="D17" i="2"/>
  <c r="C17" i="2"/>
</calcChain>
</file>

<file path=xl/sharedStrings.xml><?xml version="1.0" encoding="utf-8"?>
<sst xmlns="http://schemas.openxmlformats.org/spreadsheetml/2006/main" count="992" uniqueCount="110">
  <si>
    <t>SEEMA SAREE CENTRE</t>
  </si>
  <si>
    <t>BILTY SUMMARY</t>
  </si>
  <si>
    <t>DATE OF RECEIVING</t>
  </si>
  <si>
    <t>TRANSPORT BILL NO.</t>
  </si>
  <si>
    <t>TRANSPORT NAME</t>
  </si>
  <si>
    <t>LR NO.</t>
  </si>
  <si>
    <t>PM. NO</t>
  </si>
  <si>
    <t>COMPANY</t>
  </si>
  <si>
    <t>LOT</t>
  </si>
  <si>
    <t>TOTAL PARCEL</t>
  </si>
  <si>
    <t>ENTRY IN TALLY</t>
  </si>
  <si>
    <t>DATE OF OPENING</t>
  </si>
  <si>
    <t>DIRECT SALE FROM TRANSPORT</t>
  </si>
  <si>
    <t>DIRECT SALE NOT FROM TRANSPORT</t>
  </si>
  <si>
    <t>CHECKED FROM TRANSPORT</t>
  </si>
  <si>
    <t>SHREE GANPATI LOGISTIC AND TRANSPORT</t>
  </si>
  <si>
    <t>KAPIL</t>
  </si>
  <si>
    <t>YES</t>
  </si>
  <si>
    <t>RAMDEV FASHION</t>
  </si>
  <si>
    <t>DAMINI</t>
  </si>
  <si>
    <t>TOTAL 8 PARCEL</t>
  </si>
  <si>
    <t>SUCHITRA SILK MILLS</t>
  </si>
  <si>
    <t>CHARANJEET</t>
  </si>
  <si>
    <t>TOTAL 2 PARCEL</t>
  </si>
  <si>
    <t>SHREE LAXMI DEVI FASHION</t>
  </si>
  <si>
    <t>MATRACHAYA</t>
  </si>
  <si>
    <t>TOTAL 5 PARCEL</t>
  </si>
  <si>
    <t>TOTAL 1 PARCEL</t>
  </si>
  <si>
    <t>W/L</t>
  </si>
  <si>
    <t>TOTAL 7 PARCEL</t>
  </si>
  <si>
    <t>KAMLAPATI SAREE</t>
  </si>
  <si>
    <t>KAMLAPATI</t>
  </si>
  <si>
    <t xml:space="preserve">DEV SHREE </t>
  </si>
  <si>
    <t>TOTAL 6 PARCEL</t>
  </si>
  <si>
    <t>TOTAL 4 PARCEL</t>
  </si>
  <si>
    <t xml:space="preserve">TOTAL 3 PARCEL </t>
  </si>
  <si>
    <t xml:space="preserve"> </t>
  </si>
  <si>
    <t>TOTAL 1 PARCLE</t>
  </si>
  <si>
    <t>TOTAL 2 PARCLE</t>
  </si>
  <si>
    <t>TOTAL  7 PARCEL</t>
  </si>
  <si>
    <t>TOTAL 3 PARCEL</t>
  </si>
  <si>
    <t>MATRICHAYA</t>
  </si>
  <si>
    <t>BOBBY SAREE CENTRE - SABOUR</t>
  </si>
  <si>
    <t>183822 / 185822</t>
  </si>
  <si>
    <t>TOTOL 1 PARCEL</t>
  </si>
  <si>
    <t>KAMALAPATI SAREES</t>
  </si>
  <si>
    <t>TOTAL 04 PARCEL</t>
  </si>
  <si>
    <t>RAMDEV</t>
  </si>
  <si>
    <t>PARTH CREATION</t>
  </si>
  <si>
    <t>VIDHITA</t>
  </si>
  <si>
    <t>RAGHAV DESIGNER</t>
  </si>
  <si>
    <t>DEV SHREE CREATION</t>
  </si>
  <si>
    <t>PERFACT CHUNARI HOUSE</t>
  </si>
  <si>
    <t>186116 / 186416</t>
  </si>
  <si>
    <t>DRESS GALLERY</t>
  </si>
  <si>
    <t>VRINDAVAN SAREES</t>
  </si>
  <si>
    <t>TANU FASHION</t>
  </si>
  <si>
    <t>SAGUN SAREE CENTRE</t>
  </si>
  <si>
    <t>RISHIKESH KUMAR - JAGDISHPUR</t>
  </si>
  <si>
    <t>AMBEY</t>
  </si>
  <si>
    <t>EVANA SAREES</t>
  </si>
  <si>
    <t>NO</t>
  </si>
  <si>
    <t>GOURIPOOJA</t>
  </si>
  <si>
    <t>2387 / 2367</t>
  </si>
  <si>
    <t>TANU</t>
  </si>
  <si>
    <t>186473 / 186474</t>
  </si>
  <si>
    <t>ASHOK RAI - SABOUR</t>
  </si>
  <si>
    <t>TOTAL 17 PARCEL</t>
  </si>
  <si>
    <t>186474 / 186473</t>
  </si>
  <si>
    <t>TYPE (LOOSE / BOX)</t>
  </si>
  <si>
    <t>LOOSE</t>
  </si>
  <si>
    <t>L</t>
  </si>
  <si>
    <t>GURUWANI</t>
  </si>
  <si>
    <t>B</t>
  </si>
  <si>
    <t>MONTHS</t>
  </si>
  <si>
    <t>BOX</t>
  </si>
  <si>
    <t>LOOSE AMOUNT</t>
  </si>
  <si>
    <t>BOX AMOUNT</t>
  </si>
  <si>
    <t>TOTAL AMOUNT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</si>
  <si>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</si>
  <si>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</si>
  <si>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</si>
  <si>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</si>
  <si>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</si>
  <si>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</si>
  <si>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</si>
  <si>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</si>
  <si>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</si>
  <si>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</si>
  <si>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SUMMARY (2026-2027)</t>
  </si>
  <si>
    <t>TOTAL</t>
  </si>
  <si>
    <t>TYPE</t>
  </si>
  <si>
    <t>AMOUNT</t>
  </si>
  <si>
    <t>DIFFERENCE</t>
  </si>
  <si>
    <t>SL. NO.</t>
  </si>
  <si>
    <t>NAME</t>
  </si>
  <si>
    <t>QUANTITY</t>
  </si>
  <si>
    <t>PRICE</t>
  </si>
  <si>
    <t>TAXABLE</t>
  </si>
  <si>
    <t>CGST @ 2.5%</t>
  </si>
  <si>
    <t>SGST @ 2.5%</t>
  </si>
  <si>
    <t>IGST @ 5%</t>
  </si>
  <si>
    <t>ROUND OFF</t>
  </si>
  <si>
    <t>FINAL AMOUNT</t>
  </si>
  <si>
    <t>LESS</t>
  </si>
  <si>
    <t>SHRIWALI</t>
  </si>
  <si>
    <t>BHOLA BHAGAT STORE - TARAPUR</t>
  </si>
  <si>
    <t>RAAS LEELA FASHION</t>
  </si>
  <si>
    <t>KARIGAR</t>
  </si>
  <si>
    <t>TOTAL 9 PARCEL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</si>
</sst>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14" fontId="0" fillId="0" borderId="0" xfId="0" applyNumberFormat="1"/>
    <xf numFmtId="0" fontId="3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1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3" fillId="7" borderId="1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11" borderId="11" xfId="0" applyFill="1" applyBorder="1" applyAlignment="1">
      <alignment vertical="center"/>
    </xf>
    <xf numFmtId="43" fontId="0" fillId="0" borderId="0" xfId="1" applyFont="1"/>
    <xf numFmtId="0" fontId="6" fillId="0" borderId="4" xfId="0" applyFont="1" applyBorder="1"/>
    <xf numFmtId="0" fontId="6" fillId="0" borderId="12" xfId="0" applyFont="1" applyBorder="1"/>
    <xf numFmtId="0" fontId="6" fillId="0" borderId="5" xfId="0" applyFont="1" applyBorder="1"/>
    <xf numFmtId="43" fontId="6" fillId="3" borderId="5" xfId="1" applyFont="1" applyFill="1" applyBorder="1"/>
    <xf numFmtId="0" fontId="0" fillId="0" borderId="6" xfId="0" applyBorder="1"/>
    <xf numFmtId="0" fontId="0" fillId="0" borderId="7" xfId="0" applyBorder="1"/>
    <xf numFmtId="0" fontId="6" fillId="0" borderId="6" xfId="0" applyFont="1" applyBorder="1"/>
    <xf numFmtId="43" fontId="6" fillId="0" borderId="7" xfId="1" applyFont="1" applyBorder="1"/>
    <xf numFmtId="0" fontId="0" fillId="3" borderId="7" xfId="0" applyFill="1" applyBorder="1"/>
    <xf numFmtId="43" fontId="6" fillId="3" borderId="7" xfId="1" applyFont="1" applyFill="1" applyBorder="1"/>
    <xf numFmtId="0" fontId="6" fillId="0" borderId="8" xfId="0" applyFont="1" applyBorder="1"/>
    <xf numFmtId="43" fontId="6" fillId="3" borderId="9" xfId="1" applyFont="1" applyFill="1" applyBorder="1"/>
    <xf numFmtId="0" fontId="0" fillId="0" borderId="8" xfId="0" applyBorder="1"/>
    <xf numFmtId="0" fontId="0" fillId="0" borderId="13" xfId="0" applyBorder="1"/>
    <xf numFmtId="0" fontId="0" fillId="0" borderId="9" xfId="0" applyBorder="1"/>
    <xf numFmtId="0" fontId="6" fillId="0" borderId="1" xfId="0" applyFont="1" applyBorder="1"/>
    <xf numFmtId="0" fontId="6" fillId="3" borderId="2" xfId="0" applyFont="1" applyFill="1" applyBorder="1"/>
    <xf numFmtId="0" fontId="6" fillId="0" borderId="2" xfId="0" applyFont="1" applyBorder="1"/>
    <xf numFmtId="0" fontId="6" fillId="3" borderId="3" xfId="0" applyFont="1" applyFill="1" applyBorder="1"/>
    <xf numFmtId="2" fontId="6" fillId="3" borderId="3" xfId="0" applyNumberFormat="1" applyFont="1" applyFill="1" applyBorder="1"/>
    <xf numFmtId="0" fontId="0" fillId="0" borderId="0" xfId="0" applyProtection="1">
      <protection locked="0"/>
    </xf>
    <xf numFmtId="0" fontId="6" fillId="12" borderId="2" xfId="0" applyFont="1" applyFill="1" applyBorder="1" applyProtection="1"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1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07BD-0772-417B-B069-DE2E70945823}">
  <dimension ref="A1:H17"/>
  <sheetViews>
    <sheetView tabSelected="1" zoomScale="150" zoomScaleNormal="150" workbookViewId="0">
      <selection activeCell="I6" sqref="I6"/>
    </sheetView>
  </sheetViews>
  <sheetFormatPr defaultRowHeight="14.4" x14ac:dyDescent="0.3"/>
  <cols>
    <col min="1" max="1" width="10.6640625" style="7" bestFit="1" customWidth="1"/>
    <col min="2" max="2" width="14.44140625" style="7" bestFit="1" customWidth="1"/>
    <col min="3" max="4" width="8.88671875" style="7"/>
    <col min="5" max="5" width="12.6640625" style="7" bestFit="1" customWidth="1"/>
    <col min="6" max="6" width="15.88671875" style="7" bestFit="1" customWidth="1"/>
    <col min="7" max="7" width="13.5546875" style="7" bestFit="1" customWidth="1"/>
    <col min="8" max="8" width="15.33203125" style="7" bestFit="1" customWidth="1"/>
  </cols>
  <sheetData>
    <row r="1" spans="1:8" ht="23.4" x14ac:dyDescent="0.3">
      <c r="A1" s="43" t="s">
        <v>0</v>
      </c>
      <c r="B1" s="43"/>
      <c r="C1" s="43"/>
      <c r="D1" s="43"/>
      <c r="E1" s="43"/>
      <c r="F1" s="43"/>
      <c r="G1" s="3" t="s">
        <v>91</v>
      </c>
      <c r="H1" s="3" t="s">
        <v>92</v>
      </c>
    </row>
    <row r="2" spans="1:8" ht="18" x14ac:dyDescent="0.3">
      <c r="A2" s="44" t="s">
        <v>15</v>
      </c>
      <c r="B2" s="44"/>
      <c r="C2" s="44"/>
      <c r="D2" s="44"/>
      <c r="E2" s="44"/>
      <c r="F2" s="44"/>
      <c r="G2" s="4" t="s">
        <v>70</v>
      </c>
      <c r="H2" s="4">
        <v>800</v>
      </c>
    </row>
    <row r="3" spans="1:8" ht="18" x14ac:dyDescent="0.3">
      <c r="A3" s="44" t="s">
        <v>89</v>
      </c>
      <c r="B3" s="44"/>
      <c r="C3" s="44"/>
      <c r="D3" s="44"/>
      <c r="E3" s="44"/>
      <c r="F3" s="44"/>
      <c r="G3" s="5" t="s">
        <v>75</v>
      </c>
      <c r="H3" s="5">
        <v>1050</v>
      </c>
    </row>
    <row r="4" spans="1:8" ht="15.6" x14ac:dyDescent="0.3">
      <c r="A4" s="6" t="s">
        <v>74</v>
      </c>
      <c r="B4" s="6" t="s">
        <v>9</v>
      </c>
      <c r="C4" s="6" t="s">
        <v>70</v>
      </c>
      <c r="D4" s="6" t="s">
        <v>75</v>
      </c>
      <c r="E4" s="6" t="s">
        <v>93</v>
      </c>
      <c r="F4" s="6" t="s">
        <v>76</v>
      </c>
      <c r="G4" s="6" t="s">
        <v>77</v>
      </c>
      <c r="H4" s="6" t="s">
        <v>78</v>
      </c>
    </row>
    <row r="5" spans="1:8" ht="15.6" x14ac:dyDescent="0.3">
      <c r="A5" s="6"/>
      <c r="B5" s="6"/>
      <c r="C5" s="6"/>
      <c r="D5" s="6"/>
      <c r="E5" s="6"/>
      <c r="F5" s="6"/>
      <c r="G5" s="6"/>
      <c r="H5" s="6"/>
    </row>
    <row r="6" spans="1:8" ht="15.6" x14ac:dyDescent="0.3">
      <c r="A6" s="7" t="s">
        <v>79</v>
      </c>
      <c r="B6" s="8">
        <f>SUM('JUNE 2026'!$H$1:$H$1000)</f>
        <v>193</v>
      </c>
      <c r="C6" s="9">
        <f>COUNTIF('JUNE 2026'!$G$1:$G$1000, "L")</f>
        <v>191</v>
      </c>
      <c r="D6" s="10">
        <f>COUNTIF('JUNE 2026'!$G$1:$G$1000, "B")</f>
        <v>2</v>
      </c>
      <c r="E6" s="17">
        <f>B6-(C6+D6)</f>
        <v>0</v>
      </c>
      <c r="F6" s="11">
        <f>$C6*$H$2</f>
        <v>152800</v>
      </c>
      <c r="G6" s="12">
        <f>$D6*$H$3</f>
        <v>2100</v>
      </c>
      <c r="H6" s="13">
        <f>SUM($F6,$G6)</f>
        <v>154900</v>
      </c>
    </row>
    <row r="7" spans="1:8" ht="15.6" x14ac:dyDescent="0.3">
      <c r="A7" s="7" t="s">
        <v>80</v>
      </c>
      <c r="B7" s="8">
        <f>SUM('JULY 2026'!$H$1:$H$1000)</f>
        <v>34</v>
      </c>
      <c r="C7" s="9">
        <f>COUNTIF('JULY 2026'!$G$1:$G$1000, "L")</f>
        <v>33</v>
      </c>
      <c r="D7" s="10">
        <f>COUNTIF('JULY 2026'!$G$1:$G$1000, "B")</f>
        <v>1</v>
      </c>
      <c r="E7" s="17">
        <f t="shared" ref="E7:E15" si="0">B7-(C7+D7)</f>
        <v>0</v>
      </c>
      <c r="F7" s="11">
        <f t="shared" ref="F7:F15" si="1">$C7*$H$2</f>
        <v>26400</v>
      </c>
      <c r="G7" s="12">
        <f t="shared" ref="G7:G15" si="2">$D7*$H$3</f>
        <v>1050</v>
      </c>
      <c r="H7" s="13">
        <f t="shared" ref="H7:H15" si="3">SUM($F7,$G7)</f>
        <v>27450</v>
      </c>
    </row>
    <row r="8" spans="1:8" ht="15.6" x14ac:dyDescent="0.3">
      <c r="A8" s="7" t="s">
        <v>81</v>
      </c>
      <c r="B8" s="8">
        <f>SUM('AUGUST 2026'!$H$1:$H$1000)</f>
        <v>0</v>
      </c>
      <c r="C8" s="9">
        <f>COUNTIF('AUGUST 2026'!$G$1:$G$1000, "L")</f>
        <v>0</v>
      </c>
      <c r="D8" s="10">
        <f>COUNTIF('AUGUST 2026'!$G$1:$G$1000, "B")</f>
        <v>0</v>
      </c>
      <c r="E8" s="17">
        <f t="shared" si="0"/>
        <v>0</v>
      </c>
      <c r="F8" s="11">
        <f t="shared" si="1"/>
        <v>0</v>
      </c>
      <c r="G8" s="12">
        <f t="shared" si="2"/>
        <v>0</v>
      </c>
      <c r="H8" s="13">
        <f t="shared" si="3"/>
        <v>0</v>
      </c>
    </row>
    <row r="9" spans="1:8" ht="15.6" x14ac:dyDescent="0.3">
      <c r="A9" s="7" t="s">
        <v>82</v>
      </c>
      <c r="B9" s="8">
        <f>SUM('SEPTEMBER 2026'!$H$1:$H$1000)</f>
        <v>0</v>
      </c>
      <c r="C9" s="9">
        <f>COUNTIF('SEPTEMBER 2026'!$G$1:$G$1000, "L")</f>
        <v>0</v>
      </c>
      <c r="D9" s="10">
        <f>COUNTIF('SEPTEMBER 2026'!$G$1:$G$1000, "B")</f>
        <v>0</v>
      </c>
      <c r="E9" s="17">
        <f t="shared" si="0"/>
        <v>0</v>
      </c>
      <c r="F9" s="11">
        <f t="shared" si="1"/>
        <v>0</v>
      </c>
      <c r="G9" s="12">
        <f t="shared" si="2"/>
        <v>0</v>
      </c>
      <c r="H9" s="13">
        <f t="shared" si="3"/>
        <v>0</v>
      </c>
    </row>
    <row r="10" spans="1:8" ht="15.6" x14ac:dyDescent="0.3">
      <c r="A10" s="7" t="s">
        <v>83</v>
      </c>
      <c r="B10" s="8">
        <f>SUM('OCTOBER 2026'!$H$1:$H$1000)</f>
        <v>0</v>
      </c>
      <c r="C10" s="9">
        <f>COUNTIF('OCTOBER 2026'!$G$1:$G$1000, "L")</f>
        <v>0</v>
      </c>
      <c r="D10" s="10">
        <f>COUNTIF('OCTOBER 2026'!$G$1:$G$1000, "B")</f>
        <v>0</v>
      </c>
      <c r="E10" s="17">
        <f t="shared" si="0"/>
        <v>0</v>
      </c>
      <c r="F10" s="11">
        <f t="shared" si="1"/>
        <v>0</v>
      </c>
      <c r="G10" s="12">
        <f t="shared" si="2"/>
        <v>0</v>
      </c>
      <c r="H10" s="13">
        <f t="shared" si="3"/>
        <v>0</v>
      </c>
    </row>
    <row r="11" spans="1:8" ht="15.6" x14ac:dyDescent="0.3">
      <c r="A11" s="7" t="s">
        <v>84</v>
      </c>
      <c r="B11" s="8">
        <f>SUM('NOVEMBER 2026'!$H$1:$H$1000)</f>
        <v>0</v>
      </c>
      <c r="C11" s="9">
        <f>COUNTIF('NOVEMBER 2026'!$G$1:$G$1000, "L")</f>
        <v>0</v>
      </c>
      <c r="D11" s="10">
        <f>COUNTIF('NOVEMBER 2026'!$G$1:$G$1000, "B")</f>
        <v>0</v>
      </c>
      <c r="E11" s="17">
        <f t="shared" si="0"/>
        <v>0</v>
      </c>
      <c r="F11" s="11">
        <f t="shared" si="1"/>
        <v>0</v>
      </c>
      <c r="G11" s="12">
        <f t="shared" si="2"/>
        <v>0</v>
      </c>
      <c r="H11" s="13">
        <f t="shared" si="3"/>
        <v>0</v>
      </c>
    </row>
    <row r="12" spans="1:8" ht="15.6" x14ac:dyDescent="0.3">
      <c r="A12" s="7" t="s">
        <v>85</v>
      </c>
      <c r="B12" s="8">
        <f>SUM('DECEMBER 2026'!$H$1:$H$1000)</f>
        <v>0</v>
      </c>
      <c r="C12" s="9">
        <f>COUNTIF('DECEMBER 2026'!$G$1:$G$1000, "L")</f>
        <v>0</v>
      </c>
      <c r="D12" s="10">
        <f>COUNTIF('DECEMBER 2026'!$G$1:$G$1000, "B")</f>
        <v>0</v>
      </c>
      <c r="E12" s="17">
        <f t="shared" si="0"/>
        <v>0</v>
      </c>
      <c r="F12" s="11">
        <f t="shared" si="1"/>
        <v>0</v>
      </c>
      <c r="G12" s="12">
        <f t="shared" si="2"/>
        <v>0</v>
      </c>
      <c r="H12" s="13">
        <f t="shared" si="3"/>
        <v>0</v>
      </c>
    </row>
    <row r="13" spans="1:8" ht="15.6" x14ac:dyDescent="0.3">
      <c r="A13" s="7" t="s">
        <v>86</v>
      </c>
      <c r="B13" s="8">
        <f>SUM('JANUARY 2027'!$H$1:$H$1000)</f>
        <v>0</v>
      </c>
      <c r="C13" s="9">
        <f>COUNTIF('JANUARY 2027'!$G$1:$G$1000, "L")</f>
        <v>0</v>
      </c>
      <c r="D13" s="10">
        <f>COUNTIF('JANUARY 2027'!$G$1:$G$1000, "B")</f>
        <v>0</v>
      </c>
      <c r="E13" s="17">
        <f t="shared" si="0"/>
        <v>0</v>
      </c>
      <c r="F13" s="11">
        <f t="shared" si="1"/>
        <v>0</v>
      </c>
      <c r="G13" s="12">
        <f t="shared" si="2"/>
        <v>0</v>
      </c>
      <c r="H13" s="13">
        <f t="shared" si="3"/>
        <v>0</v>
      </c>
    </row>
    <row r="14" spans="1:8" ht="15.6" x14ac:dyDescent="0.3">
      <c r="A14" s="7" t="s">
        <v>87</v>
      </c>
      <c r="B14" s="8">
        <f>SUM('FEBRUARY 2027'!$H$1:$H$1000)</f>
        <v>0</v>
      </c>
      <c r="C14" s="9">
        <f>COUNTIF('FEBRUARY 2027'!$G$1:$G$1000, "L")</f>
        <v>0</v>
      </c>
      <c r="D14" s="10">
        <f>COUNTIF('FEBRUARY 2027'!$G$1:$G$1000, "B")</f>
        <v>0</v>
      </c>
      <c r="E14" s="17">
        <f t="shared" si="0"/>
        <v>0</v>
      </c>
      <c r="F14" s="11">
        <f t="shared" si="1"/>
        <v>0</v>
      </c>
      <c r="G14" s="12">
        <f t="shared" si="2"/>
        <v>0</v>
      </c>
      <c r="H14" s="13">
        <f t="shared" si="3"/>
        <v>0</v>
      </c>
    </row>
    <row r="15" spans="1:8" ht="15.6" x14ac:dyDescent="0.3">
      <c r="A15" s="7" t="s">
        <v>88</v>
      </c>
      <c r="B15" s="8">
        <f>SUM('MARCH 2027'!$H$1:$H$1000)</f>
        <v>0</v>
      </c>
      <c r="C15" s="9">
        <f>COUNTIF('MARCH 2027'!$G$1:$G$1000, "L")</f>
        <v>0</v>
      </c>
      <c r="D15" s="10">
        <f>COUNTIF('MARCH 2027'!$G$1:$G$1000, "B")</f>
        <v>0</v>
      </c>
      <c r="E15" s="17">
        <f t="shared" si="0"/>
        <v>0</v>
      </c>
      <c r="F15" s="11">
        <f t="shared" si="1"/>
        <v>0</v>
      </c>
      <c r="G15" s="12">
        <f t="shared" si="2"/>
        <v>0</v>
      </c>
      <c r="H15" s="13">
        <f t="shared" si="3"/>
        <v>0</v>
      </c>
    </row>
    <row r="16" spans="1:8" ht="15" thickBot="1" x14ac:dyDescent="0.35"/>
    <row r="17" spans="1:8" ht="18.600000000000001" thickBot="1" x14ac:dyDescent="0.35">
      <c r="A17" s="14" t="s">
        <v>90</v>
      </c>
      <c r="B17" s="15">
        <f t="shared" ref="B17:H17" si="4">SUM(B6:B15)</f>
        <v>227</v>
      </c>
      <c r="C17" s="15">
        <f t="shared" si="4"/>
        <v>224</v>
      </c>
      <c r="D17" s="15">
        <f t="shared" si="4"/>
        <v>3</v>
      </c>
      <c r="E17" s="15">
        <f>SUM(E6:E15)</f>
        <v>0</v>
      </c>
      <c r="F17" s="15">
        <f t="shared" si="4"/>
        <v>179200</v>
      </c>
      <c r="G17" s="15">
        <f t="shared" si="4"/>
        <v>3150</v>
      </c>
      <c r="H17" s="16">
        <f t="shared" si="4"/>
        <v>182350</v>
      </c>
    </row>
  </sheetData>
  <sheetProtection algorithmName="SHA-512" hashValue="apnFrkBP8/ShgjRTQK3gA8guW/nV/Cek5M0liyJx0tyP9OuWcq61MjeeY+I9FP/5C5nsoCQ2TUfyxVs1mhWxJQ==" saltValue="+/GP7/krfdjjnxYEAJocaA==" spinCount="100000" sheet="1" objects="1" scenarios="1"/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FD0-A9D2-4DEA-A0AC-D3612DDA2AF9}">
  <dimension ref="A1:I25"/>
  <sheetViews>
    <sheetView zoomScale="115" zoomScaleNormal="115" workbookViewId="0">
      <selection activeCell="N8" sqref="N8"/>
    </sheetView>
  </sheetViews>
  <sheetFormatPr defaultRowHeight="14.4" x14ac:dyDescent="0.3"/>
  <cols>
    <col min="1" max="1" width="7.109375" bestFit="1" customWidth="1"/>
    <col min="2" max="2" width="17.88671875" customWidth="1"/>
    <col min="3" max="3" width="9.33203125" bestFit="1" customWidth="1"/>
    <col min="4" max="4" width="8.33203125" customWidth="1"/>
    <col min="8" max="8" width="13.77734375" bestFit="1" customWidth="1"/>
    <col min="9" max="9" width="13.21875" customWidth="1"/>
  </cols>
  <sheetData>
    <row r="1" spans="1:9" ht="15" thickBot="1" x14ac:dyDescent="0.35">
      <c r="I1" s="18"/>
    </row>
    <row r="2" spans="1:9" x14ac:dyDescent="0.3">
      <c r="A2" s="19" t="s">
        <v>94</v>
      </c>
      <c r="B2" s="20" t="s">
        <v>95</v>
      </c>
      <c r="C2" s="20" t="s">
        <v>96</v>
      </c>
      <c r="D2" s="20" t="s">
        <v>97</v>
      </c>
      <c r="E2" s="21" t="s">
        <v>90</v>
      </c>
      <c r="H2" s="19" t="s">
        <v>98</v>
      </c>
      <c r="I2" s="22">
        <f>SUM(E3:E18)-E23</f>
        <v>0</v>
      </c>
    </row>
    <row r="3" spans="1:9" x14ac:dyDescent="0.3">
      <c r="A3" s="23"/>
      <c r="E3" s="24"/>
      <c r="H3" s="25"/>
      <c r="I3" s="26"/>
    </row>
    <row r="4" spans="1:9" ht="16.2" customHeight="1" x14ac:dyDescent="0.3">
      <c r="A4" s="23">
        <v>1</v>
      </c>
      <c r="B4" s="39"/>
      <c r="C4" s="39"/>
      <c r="D4" s="39"/>
      <c r="E4" s="27">
        <f t="shared" ref="E4:E18" si="0">C4*D4</f>
        <v>0</v>
      </c>
      <c r="H4" s="25" t="s">
        <v>99</v>
      </c>
      <c r="I4" s="28">
        <f>I2*2.5%</f>
        <v>0</v>
      </c>
    </row>
    <row r="5" spans="1:9" x14ac:dyDescent="0.3">
      <c r="A5" s="23">
        <v>2</v>
      </c>
      <c r="B5" s="39"/>
      <c r="C5" s="39"/>
      <c r="D5" s="39"/>
      <c r="E5" s="27">
        <f t="shared" si="0"/>
        <v>0</v>
      </c>
      <c r="H5" s="25" t="s">
        <v>100</v>
      </c>
      <c r="I5" s="28">
        <f>I4</f>
        <v>0</v>
      </c>
    </row>
    <row r="6" spans="1:9" x14ac:dyDescent="0.3">
      <c r="A6" s="23">
        <v>3</v>
      </c>
      <c r="B6" s="39"/>
      <c r="C6" s="39"/>
      <c r="D6" s="39"/>
      <c r="E6" s="27">
        <f t="shared" si="0"/>
        <v>0</v>
      </c>
      <c r="H6" s="25"/>
      <c r="I6" s="26"/>
    </row>
    <row r="7" spans="1:9" x14ac:dyDescent="0.3">
      <c r="A7" s="23">
        <v>4</v>
      </c>
      <c r="B7" s="39"/>
      <c r="C7" s="39"/>
      <c r="D7" s="39"/>
      <c r="E7" s="27">
        <f t="shared" si="0"/>
        <v>0</v>
      </c>
      <c r="H7" s="25" t="s">
        <v>101</v>
      </c>
      <c r="I7" s="28">
        <f>I2*5%</f>
        <v>0</v>
      </c>
    </row>
    <row r="8" spans="1:9" x14ac:dyDescent="0.3">
      <c r="A8" s="23">
        <v>5</v>
      </c>
      <c r="B8" s="39"/>
      <c r="C8" s="39"/>
      <c r="D8" s="39"/>
      <c r="E8" s="27">
        <f t="shared" si="0"/>
        <v>0</v>
      </c>
      <c r="H8" s="25"/>
      <c r="I8" s="26"/>
    </row>
    <row r="9" spans="1:9" x14ac:dyDescent="0.3">
      <c r="A9" s="23">
        <v>6</v>
      </c>
      <c r="B9" s="39"/>
      <c r="C9" s="39"/>
      <c r="D9" s="39"/>
      <c r="E9" s="27">
        <f t="shared" si="0"/>
        <v>0</v>
      </c>
      <c r="H9" s="25" t="s">
        <v>102</v>
      </c>
      <c r="I9" s="28">
        <f>ROUND((I2+I4+I5), 0)-(I2+I4+I5)</f>
        <v>0</v>
      </c>
    </row>
    <row r="10" spans="1:9" x14ac:dyDescent="0.3">
      <c r="A10" s="23">
        <v>7</v>
      </c>
      <c r="B10" s="39"/>
      <c r="C10" s="39"/>
      <c r="D10" s="39"/>
      <c r="E10" s="27">
        <f t="shared" si="0"/>
        <v>0</v>
      </c>
      <c r="H10" s="25"/>
      <c r="I10" s="26"/>
    </row>
    <row r="11" spans="1:9" ht="15" thickBot="1" x14ac:dyDescent="0.35">
      <c r="A11" s="23">
        <v>8</v>
      </c>
      <c r="B11" s="39"/>
      <c r="C11" s="39"/>
      <c r="D11" s="39"/>
      <c r="E11" s="27">
        <f t="shared" si="0"/>
        <v>0</v>
      </c>
      <c r="H11" s="29" t="s">
        <v>103</v>
      </c>
      <c r="I11" s="30">
        <f>I2+I4+I5+I9</f>
        <v>0</v>
      </c>
    </row>
    <row r="12" spans="1:9" x14ac:dyDescent="0.3">
      <c r="A12" s="23">
        <v>9</v>
      </c>
      <c r="B12" s="39"/>
      <c r="C12" s="39"/>
      <c r="D12" s="39"/>
      <c r="E12" s="27">
        <f t="shared" si="0"/>
        <v>0</v>
      </c>
      <c r="I12" s="18"/>
    </row>
    <row r="13" spans="1:9" x14ac:dyDescent="0.3">
      <c r="A13" s="23">
        <v>10</v>
      </c>
      <c r="B13" s="39"/>
      <c r="C13" s="39"/>
      <c r="D13" s="39"/>
      <c r="E13" s="27">
        <f t="shared" si="0"/>
        <v>0</v>
      </c>
      <c r="I13" s="18"/>
    </row>
    <row r="14" spans="1:9" x14ac:dyDescent="0.3">
      <c r="A14" s="23">
        <v>11</v>
      </c>
      <c r="B14" s="39"/>
      <c r="C14" s="39"/>
      <c r="D14" s="39"/>
      <c r="E14" s="27">
        <f t="shared" si="0"/>
        <v>0</v>
      </c>
      <c r="I14" s="18"/>
    </row>
    <row r="15" spans="1:9" x14ac:dyDescent="0.3">
      <c r="A15" s="23">
        <v>12</v>
      </c>
      <c r="B15" s="39"/>
      <c r="C15" s="39"/>
      <c r="D15" s="39"/>
      <c r="E15" s="27">
        <f t="shared" si="0"/>
        <v>0</v>
      </c>
      <c r="I15" s="18"/>
    </row>
    <row r="16" spans="1:9" x14ac:dyDescent="0.3">
      <c r="A16" s="23">
        <v>13</v>
      </c>
      <c r="B16" s="39"/>
      <c r="C16" s="39"/>
      <c r="D16" s="39"/>
      <c r="E16" s="27">
        <f t="shared" si="0"/>
        <v>0</v>
      </c>
      <c r="I16" s="18"/>
    </row>
    <row r="17" spans="1:9" x14ac:dyDescent="0.3">
      <c r="A17" s="23">
        <v>14</v>
      </c>
      <c r="B17" s="39"/>
      <c r="C17" s="39"/>
      <c r="D17" s="39"/>
      <c r="E17" s="27">
        <f t="shared" si="0"/>
        <v>0</v>
      </c>
      <c r="I17" s="18"/>
    </row>
    <row r="18" spans="1:9" x14ac:dyDescent="0.3">
      <c r="A18" s="23">
        <v>15</v>
      </c>
      <c r="B18" s="39"/>
      <c r="C18" s="39"/>
      <c r="D18" s="39"/>
      <c r="E18" s="27">
        <f t="shared" si="0"/>
        <v>0</v>
      </c>
      <c r="I18" s="18"/>
    </row>
    <row r="19" spans="1:9" ht="15" thickBot="1" x14ac:dyDescent="0.35">
      <c r="A19" s="31"/>
      <c r="B19" s="32"/>
      <c r="C19" s="32"/>
      <c r="D19" s="32"/>
      <c r="E19" s="33"/>
      <c r="I19" s="18"/>
    </row>
    <row r="20" spans="1:9" ht="15" thickBot="1" x14ac:dyDescent="0.35">
      <c r="D20" t="s">
        <v>36</v>
      </c>
      <c r="I20" s="18"/>
    </row>
    <row r="21" spans="1:9" ht="15" thickBot="1" x14ac:dyDescent="0.35">
      <c r="B21" s="34" t="s">
        <v>90</v>
      </c>
      <c r="C21" s="35">
        <f>SUM(C4:C18)</f>
        <v>0</v>
      </c>
      <c r="D21" s="36"/>
      <c r="E21" s="37">
        <f>SUM(E4:E18)</f>
        <v>0</v>
      </c>
      <c r="I21" s="18"/>
    </row>
    <row r="22" spans="1:9" ht="15" thickBot="1" x14ac:dyDescent="0.35">
      <c r="I22" s="18"/>
    </row>
    <row r="23" spans="1:9" ht="15" thickBot="1" x14ac:dyDescent="0.35">
      <c r="B23" s="34" t="s">
        <v>104</v>
      </c>
      <c r="C23" s="36"/>
      <c r="D23" s="40"/>
      <c r="E23" s="38">
        <f>E21*D23%</f>
        <v>0</v>
      </c>
      <c r="I23" s="18"/>
    </row>
    <row r="24" spans="1:9" ht="15" thickBot="1" x14ac:dyDescent="0.35">
      <c r="I24" s="18"/>
    </row>
    <row r="25" spans="1:9" ht="15" thickBot="1" x14ac:dyDescent="0.35">
      <c r="B25" s="34" t="s">
        <v>98</v>
      </c>
      <c r="C25" s="36"/>
      <c r="D25" s="40"/>
      <c r="E25" s="37">
        <f>ROUND(D25/1.05, 0)</f>
        <v>0</v>
      </c>
      <c r="I25" s="18"/>
    </row>
  </sheetData>
  <sheetProtection algorithmName="SHA-512" hashValue="YnjnPn6ygmXEc27ouwYE5ELiOADMUWCGrydcXLGlIvmNDfFCe/JmNxhkU9wcSqbMnBc0H3V08hbP8pvwdub3Rw==" saltValue="InlabPMp0yMVyQcWWSWSQ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1629-C146-4E44-94A1-2C0B7CF91C1D}">
  <dimension ref="A1:N235"/>
  <sheetViews>
    <sheetView topLeftCell="A218" workbookViewId="0">
      <selection activeCell="F46" sqref="F46"/>
    </sheetView>
  </sheetViews>
  <sheetFormatPr defaultRowHeight="14.4" x14ac:dyDescent="0.3"/>
  <cols>
    <col min="1" max="1" width="19.5546875" bestFit="1" customWidth="1"/>
    <col min="2" max="2" width="20.33203125" bestFit="1" customWidth="1"/>
    <col min="3" max="3" width="36.88671875" bestFit="1" customWidth="1"/>
    <col min="4" max="4" width="14.44140625" bestFit="1" customWidth="1"/>
    <col min="5" max="5" width="15.88671875" bestFit="1" customWidth="1"/>
    <col min="6" max="6" width="24" bestFit="1" customWidth="1"/>
    <col min="7" max="7" width="19.33203125" bestFit="1" customWidth="1"/>
    <col min="8" max="8" width="4.44140625" bestFit="1" customWidth="1"/>
    <col min="9" max="9" width="15.33203125" bestFit="1" customWidth="1"/>
    <col min="10" max="10" width="15.44140625" bestFit="1" customWidth="1"/>
    <col min="11" max="11" width="18.109375" bestFit="1" customWidth="1"/>
    <col min="12" max="12" width="30.6640625" bestFit="1" customWidth="1"/>
    <col min="13" max="13" width="35.109375" bestFit="1" customWidth="1"/>
    <col min="14" max="14" width="28" bestFit="1" customWidth="1"/>
  </cols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6" spans="1:14" x14ac:dyDescent="0.3">
      <c r="A6" s="2">
        <v>46174</v>
      </c>
      <c r="B6">
        <v>2863</v>
      </c>
      <c r="C6" t="s">
        <v>15</v>
      </c>
      <c r="D6">
        <v>184677</v>
      </c>
      <c r="E6">
        <v>7718</v>
      </c>
      <c r="F6" t="s">
        <v>16</v>
      </c>
      <c r="G6" t="s">
        <v>71</v>
      </c>
      <c r="H6">
        <v>1</v>
      </c>
      <c r="J6" t="s">
        <v>17</v>
      </c>
    </row>
    <row r="7" spans="1:14" x14ac:dyDescent="0.3">
      <c r="D7">
        <v>184679</v>
      </c>
      <c r="E7">
        <v>7723</v>
      </c>
      <c r="F7" t="s">
        <v>16</v>
      </c>
      <c r="G7" t="s">
        <v>71</v>
      </c>
      <c r="H7">
        <v>1</v>
      </c>
      <c r="J7" t="s">
        <v>17</v>
      </c>
    </row>
    <row r="8" spans="1:14" x14ac:dyDescent="0.3">
      <c r="D8">
        <v>184780</v>
      </c>
      <c r="E8">
        <v>7797</v>
      </c>
      <c r="F8" t="s">
        <v>16</v>
      </c>
      <c r="G8" t="s">
        <v>71</v>
      </c>
      <c r="H8">
        <v>1</v>
      </c>
      <c r="J8" t="s">
        <v>17</v>
      </c>
    </row>
    <row r="9" spans="1:14" x14ac:dyDescent="0.3">
      <c r="D9">
        <v>184990</v>
      </c>
      <c r="E9">
        <v>7861</v>
      </c>
      <c r="F9" t="s">
        <v>16</v>
      </c>
      <c r="G9" t="s">
        <v>71</v>
      </c>
      <c r="H9">
        <v>1</v>
      </c>
      <c r="J9" t="s">
        <v>17</v>
      </c>
    </row>
    <row r="10" spans="1:14" x14ac:dyDescent="0.3">
      <c r="D10">
        <v>184608</v>
      </c>
      <c r="E10">
        <v>465</v>
      </c>
      <c r="F10" t="s">
        <v>18</v>
      </c>
      <c r="G10" t="s">
        <v>71</v>
      </c>
      <c r="H10">
        <v>1</v>
      </c>
      <c r="J10" t="s">
        <v>17</v>
      </c>
    </row>
    <row r="11" spans="1:14" x14ac:dyDescent="0.3">
      <c r="D11">
        <v>184825</v>
      </c>
      <c r="E11">
        <v>455</v>
      </c>
      <c r="F11" t="s">
        <v>19</v>
      </c>
      <c r="G11" t="s">
        <v>71</v>
      </c>
      <c r="H11">
        <v>1</v>
      </c>
      <c r="J11" t="s">
        <v>17</v>
      </c>
    </row>
    <row r="12" spans="1:14" x14ac:dyDescent="0.3">
      <c r="D12">
        <v>184826</v>
      </c>
      <c r="E12">
        <v>456</v>
      </c>
      <c r="F12" t="s">
        <v>19</v>
      </c>
      <c r="G12" t="s">
        <v>71</v>
      </c>
      <c r="H12">
        <v>1</v>
      </c>
      <c r="J12" t="s">
        <v>17</v>
      </c>
    </row>
    <row r="13" spans="1:14" x14ac:dyDescent="0.3">
      <c r="D13">
        <v>184641</v>
      </c>
      <c r="E13">
        <v>459</v>
      </c>
      <c r="F13" t="s">
        <v>18</v>
      </c>
      <c r="G13" t="s">
        <v>71</v>
      </c>
      <c r="H13">
        <v>1</v>
      </c>
      <c r="I13" t="s">
        <v>20</v>
      </c>
      <c r="J13" t="s">
        <v>17</v>
      </c>
    </row>
    <row r="15" spans="1:14" x14ac:dyDescent="0.3">
      <c r="A15" s="2">
        <v>46174</v>
      </c>
      <c r="B15">
        <v>18367</v>
      </c>
      <c r="C15" t="s">
        <v>15</v>
      </c>
      <c r="D15">
        <v>184859</v>
      </c>
      <c r="E15">
        <v>1378</v>
      </c>
      <c r="F15" t="s">
        <v>21</v>
      </c>
      <c r="G15" t="s">
        <v>71</v>
      </c>
      <c r="H15">
        <v>1</v>
      </c>
      <c r="J15" t="s">
        <v>17</v>
      </c>
    </row>
    <row r="16" spans="1:14" x14ac:dyDescent="0.3">
      <c r="D16">
        <v>183555</v>
      </c>
      <c r="E16">
        <v>2711</v>
      </c>
      <c r="F16" t="s">
        <v>22</v>
      </c>
      <c r="G16" t="s">
        <v>71</v>
      </c>
      <c r="H16">
        <v>1</v>
      </c>
      <c r="I16" t="s">
        <v>23</v>
      </c>
      <c r="J16" t="s">
        <v>17</v>
      </c>
    </row>
    <row r="18" spans="1:10" x14ac:dyDescent="0.3">
      <c r="A18" s="2">
        <v>46175</v>
      </c>
      <c r="B18">
        <v>2866</v>
      </c>
      <c r="C18" t="s">
        <v>15</v>
      </c>
      <c r="D18">
        <v>184680</v>
      </c>
      <c r="E18">
        <v>7714</v>
      </c>
      <c r="F18" t="s">
        <v>16</v>
      </c>
      <c r="G18" t="s">
        <v>71</v>
      </c>
      <c r="H18">
        <v>1</v>
      </c>
      <c r="J18" t="s">
        <v>17</v>
      </c>
    </row>
    <row r="19" spans="1:10" x14ac:dyDescent="0.3">
      <c r="D19">
        <v>184676</v>
      </c>
      <c r="E19">
        <v>7713</v>
      </c>
      <c r="F19" t="s">
        <v>16</v>
      </c>
      <c r="G19" t="s">
        <v>71</v>
      </c>
      <c r="H19">
        <v>1</v>
      </c>
      <c r="J19" t="s">
        <v>17</v>
      </c>
    </row>
    <row r="20" spans="1:10" x14ac:dyDescent="0.3">
      <c r="D20">
        <v>184678</v>
      </c>
      <c r="E20">
        <v>7722</v>
      </c>
      <c r="F20" t="s">
        <v>16</v>
      </c>
      <c r="G20" t="s">
        <v>71</v>
      </c>
      <c r="H20">
        <v>1</v>
      </c>
      <c r="J20" t="s">
        <v>17</v>
      </c>
    </row>
    <row r="21" spans="1:10" x14ac:dyDescent="0.3">
      <c r="D21">
        <v>184779</v>
      </c>
      <c r="E21">
        <v>7799</v>
      </c>
      <c r="F21" t="s">
        <v>16</v>
      </c>
      <c r="G21" t="s">
        <v>71</v>
      </c>
      <c r="H21">
        <v>1</v>
      </c>
      <c r="J21" t="s">
        <v>17</v>
      </c>
    </row>
    <row r="22" spans="1:10" x14ac:dyDescent="0.3">
      <c r="D22">
        <v>184941</v>
      </c>
      <c r="E22">
        <v>171</v>
      </c>
      <c r="F22" t="s">
        <v>24</v>
      </c>
      <c r="G22" t="s">
        <v>71</v>
      </c>
      <c r="H22">
        <v>1</v>
      </c>
      <c r="J22" t="s">
        <v>17</v>
      </c>
    </row>
    <row r="23" spans="1:10" x14ac:dyDescent="0.3">
      <c r="D23">
        <v>184947</v>
      </c>
      <c r="E23">
        <v>177</v>
      </c>
      <c r="F23" t="s">
        <v>24</v>
      </c>
      <c r="G23" t="s">
        <v>71</v>
      </c>
      <c r="H23">
        <v>1</v>
      </c>
      <c r="J23" t="s">
        <v>17</v>
      </c>
    </row>
    <row r="24" spans="1:10" x14ac:dyDescent="0.3">
      <c r="D24">
        <v>184946</v>
      </c>
      <c r="E24">
        <v>176</v>
      </c>
      <c r="F24" t="s">
        <v>24</v>
      </c>
      <c r="G24" t="s">
        <v>71</v>
      </c>
      <c r="H24">
        <v>1</v>
      </c>
      <c r="J24" t="s">
        <v>17</v>
      </c>
    </row>
    <row r="25" spans="1:10" x14ac:dyDescent="0.3">
      <c r="D25">
        <v>184942</v>
      </c>
      <c r="E25">
        <v>172</v>
      </c>
      <c r="F25" t="s">
        <v>24</v>
      </c>
      <c r="G25" t="s">
        <v>71</v>
      </c>
      <c r="H25">
        <v>1</v>
      </c>
      <c r="I25" t="s">
        <v>20</v>
      </c>
      <c r="J25" t="s">
        <v>17</v>
      </c>
    </row>
    <row r="27" spans="1:10" x14ac:dyDescent="0.3">
      <c r="A27" s="2">
        <v>46175</v>
      </c>
      <c r="B27">
        <v>2757</v>
      </c>
      <c r="C27" t="s">
        <v>15</v>
      </c>
      <c r="D27">
        <v>184264</v>
      </c>
      <c r="E27">
        <v>128</v>
      </c>
      <c r="F27" t="s">
        <v>25</v>
      </c>
      <c r="G27" t="s">
        <v>71</v>
      </c>
      <c r="H27">
        <v>1</v>
      </c>
      <c r="J27" t="s">
        <v>17</v>
      </c>
    </row>
    <row r="28" spans="1:10" x14ac:dyDescent="0.3">
      <c r="D28">
        <v>184263</v>
      </c>
      <c r="E28">
        <v>129</v>
      </c>
      <c r="F28" t="s">
        <v>25</v>
      </c>
      <c r="G28" t="s">
        <v>71</v>
      </c>
      <c r="H28">
        <v>1</v>
      </c>
      <c r="I28" t="s">
        <v>23</v>
      </c>
      <c r="J28" t="s">
        <v>17</v>
      </c>
    </row>
    <row r="30" spans="1:10" x14ac:dyDescent="0.3">
      <c r="A30" s="2">
        <v>46176</v>
      </c>
      <c r="B30">
        <v>2759</v>
      </c>
      <c r="C30" t="s">
        <v>15</v>
      </c>
      <c r="D30">
        <v>177853</v>
      </c>
      <c r="E30">
        <v>52567</v>
      </c>
      <c r="F30" t="s">
        <v>16</v>
      </c>
      <c r="G30" t="s">
        <v>71</v>
      </c>
      <c r="H30">
        <v>1</v>
      </c>
      <c r="J30" t="s">
        <v>17</v>
      </c>
    </row>
    <row r="31" spans="1:10" x14ac:dyDescent="0.3">
      <c r="D31">
        <v>181680</v>
      </c>
      <c r="E31">
        <v>762</v>
      </c>
      <c r="F31" t="s">
        <v>72</v>
      </c>
      <c r="G31" t="s">
        <v>71</v>
      </c>
      <c r="H31">
        <v>1</v>
      </c>
      <c r="J31" t="s">
        <v>17</v>
      </c>
    </row>
    <row r="32" spans="1:10" x14ac:dyDescent="0.3">
      <c r="D32">
        <v>184947</v>
      </c>
      <c r="E32">
        <v>179</v>
      </c>
      <c r="F32" t="s">
        <v>24</v>
      </c>
      <c r="G32" t="s">
        <v>71</v>
      </c>
      <c r="H32">
        <v>1</v>
      </c>
      <c r="J32" t="s">
        <v>17</v>
      </c>
    </row>
    <row r="33" spans="1:10" x14ac:dyDescent="0.3">
      <c r="D33">
        <v>184948</v>
      </c>
      <c r="E33">
        <v>178</v>
      </c>
      <c r="F33" t="s">
        <v>24</v>
      </c>
      <c r="G33" t="s">
        <v>71</v>
      </c>
      <c r="H33">
        <v>1</v>
      </c>
      <c r="J33" t="s">
        <v>17</v>
      </c>
    </row>
    <row r="34" spans="1:10" x14ac:dyDescent="0.3">
      <c r="D34">
        <v>184943</v>
      </c>
      <c r="E34">
        <v>173</v>
      </c>
      <c r="F34" t="s">
        <v>24</v>
      </c>
      <c r="G34" t="s">
        <v>71</v>
      </c>
      <c r="H34">
        <v>1</v>
      </c>
      <c r="I34" t="s">
        <v>26</v>
      </c>
      <c r="J34" t="s">
        <v>17</v>
      </c>
    </row>
    <row r="36" spans="1:10" x14ac:dyDescent="0.3">
      <c r="A36" s="2">
        <v>46181</v>
      </c>
      <c r="B36">
        <v>2724</v>
      </c>
      <c r="C36" t="s">
        <v>15</v>
      </c>
      <c r="D36">
        <v>185163</v>
      </c>
      <c r="E36">
        <v>475</v>
      </c>
      <c r="F36" t="s">
        <v>18</v>
      </c>
      <c r="G36" t="s">
        <v>71</v>
      </c>
      <c r="H36">
        <v>1</v>
      </c>
      <c r="J36" t="s">
        <v>17</v>
      </c>
    </row>
    <row r="37" spans="1:10" x14ac:dyDescent="0.3">
      <c r="D37">
        <v>185349</v>
      </c>
      <c r="E37">
        <v>296</v>
      </c>
      <c r="F37" t="s">
        <v>30</v>
      </c>
      <c r="G37" t="s">
        <v>71</v>
      </c>
      <c r="H37">
        <v>1</v>
      </c>
      <c r="J37" t="s">
        <v>17</v>
      </c>
    </row>
    <row r="38" spans="1:10" x14ac:dyDescent="0.3">
      <c r="D38">
        <v>185166</v>
      </c>
      <c r="E38">
        <v>483</v>
      </c>
      <c r="F38" t="s">
        <v>18</v>
      </c>
      <c r="G38" t="s">
        <v>71</v>
      </c>
      <c r="H38">
        <v>1</v>
      </c>
      <c r="J38" t="s">
        <v>17</v>
      </c>
    </row>
    <row r="39" spans="1:10" x14ac:dyDescent="0.3">
      <c r="D39">
        <v>185344</v>
      </c>
      <c r="E39">
        <v>491</v>
      </c>
      <c r="F39" t="s">
        <v>18</v>
      </c>
      <c r="G39" t="s">
        <v>71</v>
      </c>
      <c r="H39">
        <v>1</v>
      </c>
      <c r="J39" t="s">
        <v>17</v>
      </c>
    </row>
    <row r="40" spans="1:10" x14ac:dyDescent="0.3">
      <c r="D40">
        <v>185066</v>
      </c>
      <c r="E40">
        <v>469</v>
      </c>
      <c r="F40" t="s">
        <v>18</v>
      </c>
      <c r="G40" t="s">
        <v>71</v>
      </c>
      <c r="H40">
        <v>1</v>
      </c>
      <c r="J40" t="s">
        <v>17</v>
      </c>
    </row>
    <row r="41" spans="1:10" x14ac:dyDescent="0.3">
      <c r="D41">
        <v>185164</v>
      </c>
      <c r="E41">
        <v>476</v>
      </c>
      <c r="F41" t="s">
        <v>18</v>
      </c>
      <c r="G41" t="s">
        <v>71</v>
      </c>
      <c r="H41">
        <v>1</v>
      </c>
      <c r="J41" t="s">
        <v>17</v>
      </c>
    </row>
    <row r="42" spans="1:10" x14ac:dyDescent="0.3">
      <c r="D42">
        <v>185100</v>
      </c>
      <c r="E42">
        <v>281</v>
      </c>
      <c r="F42" t="s">
        <v>31</v>
      </c>
      <c r="G42" t="s">
        <v>71</v>
      </c>
      <c r="H42">
        <v>1</v>
      </c>
      <c r="J42" t="s">
        <v>17</v>
      </c>
    </row>
    <row r="43" spans="1:10" x14ac:dyDescent="0.3">
      <c r="D43">
        <v>184786</v>
      </c>
      <c r="E43">
        <v>875</v>
      </c>
      <c r="F43" t="s">
        <v>32</v>
      </c>
      <c r="G43" t="s">
        <v>71</v>
      </c>
      <c r="H43">
        <v>1</v>
      </c>
      <c r="I43" t="s">
        <v>20</v>
      </c>
      <c r="J43" t="s">
        <v>17</v>
      </c>
    </row>
    <row r="45" spans="1:10" x14ac:dyDescent="0.3">
      <c r="A45" s="2">
        <v>46181</v>
      </c>
      <c r="B45">
        <v>18414</v>
      </c>
      <c r="C45" t="s">
        <v>15</v>
      </c>
      <c r="D45">
        <v>185346</v>
      </c>
      <c r="E45">
        <v>493</v>
      </c>
      <c r="F45" t="s">
        <v>18</v>
      </c>
      <c r="G45" t="s">
        <v>71</v>
      </c>
      <c r="H45">
        <v>1</v>
      </c>
      <c r="J45" t="s">
        <v>17</v>
      </c>
    </row>
    <row r="46" spans="1:10" x14ac:dyDescent="0.3">
      <c r="D46">
        <v>184827</v>
      </c>
      <c r="E46">
        <v>457</v>
      </c>
      <c r="F46" t="s">
        <v>19</v>
      </c>
      <c r="G46" t="s">
        <v>71</v>
      </c>
      <c r="H46">
        <v>1</v>
      </c>
      <c r="J46" t="s">
        <v>17</v>
      </c>
    </row>
    <row r="47" spans="1:10" x14ac:dyDescent="0.3">
      <c r="D47">
        <v>185162</v>
      </c>
      <c r="E47">
        <v>474</v>
      </c>
      <c r="F47" t="s">
        <v>18</v>
      </c>
      <c r="G47" t="s">
        <v>71</v>
      </c>
      <c r="H47">
        <v>1</v>
      </c>
      <c r="J47" t="s">
        <v>17</v>
      </c>
    </row>
    <row r="48" spans="1:10" x14ac:dyDescent="0.3">
      <c r="D48">
        <v>185165</v>
      </c>
      <c r="E48">
        <v>484</v>
      </c>
      <c r="F48" t="s">
        <v>18</v>
      </c>
      <c r="G48" t="s">
        <v>71</v>
      </c>
      <c r="H48">
        <v>1</v>
      </c>
      <c r="J48" t="s">
        <v>17</v>
      </c>
    </row>
    <row r="49" spans="1:10" x14ac:dyDescent="0.3">
      <c r="D49">
        <v>185161</v>
      </c>
      <c r="E49">
        <v>473</v>
      </c>
      <c r="F49" t="s">
        <v>18</v>
      </c>
      <c r="G49" t="s">
        <v>71</v>
      </c>
      <c r="H49">
        <v>1</v>
      </c>
      <c r="J49" t="s">
        <v>17</v>
      </c>
    </row>
    <row r="50" spans="1:10" x14ac:dyDescent="0.3">
      <c r="D50">
        <v>185348</v>
      </c>
      <c r="E50">
        <v>295</v>
      </c>
      <c r="F50" t="s">
        <v>31</v>
      </c>
      <c r="G50" t="s">
        <v>71</v>
      </c>
      <c r="H50">
        <v>1</v>
      </c>
      <c r="I50" t="s">
        <v>33</v>
      </c>
      <c r="J50" t="s">
        <v>17</v>
      </c>
    </row>
    <row r="52" spans="1:10" x14ac:dyDescent="0.3">
      <c r="A52" s="2">
        <v>46181</v>
      </c>
      <c r="B52">
        <v>18543</v>
      </c>
      <c r="C52" t="s">
        <v>15</v>
      </c>
      <c r="D52">
        <v>184856</v>
      </c>
      <c r="E52">
        <v>1382</v>
      </c>
      <c r="F52" t="s">
        <v>21</v>
      </c>
      <c r="G52" t="s">
        <v>71</v>
      </c>
      <c r="H52">
        <v>1</v>
      </c>
      <c r="J52" t="s">
        <v>17</v>
      </c>
    </row>
    <row r="53" spans="1:10" x14ac:dyDescent="0.3">
      <c r="D53">
        <v>184857</v>
      </c>
      <c r="E53">
        <v>1380</v>
      </c>
      <c r="F53" t="s">
        <v>21</v>
      </c>
      <c r="G53" t="s">
        <v>71</v>
      </c>
      <c r="H53">
        <v>1</v>
      </c>
      <c r="J53" t="s">
        <v>17</v>
      </c>
    </row>
    <row r="54" spans="1:10" x14ac:dyDescent="0.3">
      <c r="D54">
        <v>184858</v>
      </c>
      <c r="E54">
        <v>1381</v>
      </c>
      <c r="F54" t="s">
        <v>21</v>
      </c>
      <c r="G54" t="s">
        <v>71</v>
      </c>
      <c r="H54">
        <v>1</v>
      </c>
      <c r="J54" t="s">
        <v>17</v>
      </c>
    </row>
    <row r="55" spans="1:10" x14ac:dyDescent="0.3">
      <c r="D55">
        <v>184860</v>
      </c>
      <c r="E55">
        <v>1379</v>
      </c>
      <c r="F55" t="s">
        <v>21</v>
      </c>
      <c r="G55" t="s">
        <v>71</v>
      </c>
      <c r="H55">
        <v>1</v>
      </c>
      <c r="I55" t="s">
        <v>34</v>
      </c>
      <c r="J55" t="s">
        <v>17</v>
      </c>
    </row>
    <row r="57" spans="1:10" x14ac:dyDescent="0.3">
      <c r="A57" s="2">
        <v>46181</v>
      </c>
      <c r="B57">
        <v>2731</v>
      </c>
      <c r="C57" t="s">
        <v>15</v>
      </c>
      <c r="D57">
        <v>184787</v>
      </c>
      <c r="E57">
        <v>874</v>
      </c>
      <c r="F57" t="s">
        <v>51</v>
      </c>
      <c r="G57" t="s">
        <v>71</v>
      </c>
      <c r="H57">
        <v>1</v>
      </c>
      <c r="J57" t="s">
        <v>17</v>
      </c>
    </row>
    <row r="58" spans="1:10" x14ac:dyDescent="0.3">
      <c r="D58">
        <v>184784</v>
      </c>
      <c r="E58">
        <v>877</v>
      </c>
      <c r="F58" t="s">
        <v>51</v>
      </c>
      <c r="G58" t="s">
        <v>71</v>
      </c>
      <c r="H58">
        <v>1</v>
      </c>
      <c r="J58" t="s">
        <v>17</v>
      </c>
    </row>
    <row r="59" spans="1:10" x14ac:dyDescent="0.3">
      <c r="D59">
        <v>185139</v>
      </c>
      <c r="E59">
        <v>910</v>
      </c>
      <c r="F59" t="s">
        <v>51</v>
      </c>
      <c r="G59" t="s">
        <v>71</v>
      </c>
      <c r="H59">
        <v>1</v>
      </c>
      <c r="I59" t="s">
        <v>35</v>
      </c>
      <c r="J59" t="s">
        <v>17</v>
      </c>
    </row>
    <row r="60" spans="1:10" x14ac:dyDescent="0.3">
      <c r="A60" s="2"/>
    </row>
    <row r="61" spans="1:10" x14ac:dyDescent="0.3">
      <c r="A61" s="2">
        <v>46182</v>
      </c>
      <c r="B61">
        <v>18429</v>
      </c>
      <c r="C61" t="s">
        <v>15</v>
      </c>
      <c r="D61">
        <v>185172</v>
      </c>
      <c r="E61">
        <v>478</v>
      </c>
      <c r="F61" t="s">
        <v>18</v>
      </c>
      <c r="G61" t="s">
        <v>71</v>
      </c>
      <c r="H61">
        <v>1</v>
      </c>
      <c r="J61" t="s">
        <v>17</v>
      </c>
    </row>
    <row r="62" spans="1:10" x14ac:dyDescent="0.3">
      <c r="A62" s="2"/>
      <c r="D62">
        <v>185168</v>
      </c>
      <c r="E62">
        <v>481</v>
      </c>
      <c r="F62" t="s">
        <v>18</v>
      </c>
      <c r="G62" t="s">
        <v>71</v>
      </c>
      <c r="H62">
        <v>1</v>
      </c>
      <c r="I62" t="s">
        <v>38</v>
      </c>
      <c r="J62" t="s">
        <v>17</v>
      </c>
    </row>
    <row r="64" spans="1:10" x14ac:dyDescent="0.3">
      <c r="A64" s="2">
        <v>46184</v>
      </c>
      <c r="B64">
        <v>2737</v>
      </c>
      <c r="C64" t="s">
        <v>15</v>
      </c>
      <c r="D64">
        <v>185456</v>
      </c>
      <c r="E64">
        <v>462</v>
      </c>
      <c r="F64" t="s">
        <v>19</v>
      </c>
      <c r="G64" t="s">
        <v>71</v>
      </c>
      <c r="H64">
        <v>1</v>
      </c>
      <c r="J64" t="s">
        <v>17</v>
      </c>
    </row>
    <row r="65" spans="1:12" x14ac:dyDescent="0.3">
      <c r="D65">
        <v>185460</v>
      </c>
      <c r="E65">
        <v>459</v>
      </c>
      <c r="F65" t="s">
        <v>19</v>
      </c>
      <c r="G65" t="s">
        <v>71</v>
      </c>
      <c r="H65">
        <v>1</v>
      </c>
      <c r="J65" t="s">
        <v>17</v>
      </c>
    </row>
    <row r="66" spans="1:12" x14ac:dyDescent="0.3">
      <c r="D66">
        <v>185459</v>
      </c>
      <c r="E66">
        <v>461</v>
      </c>
      <c r="F66" t="s">
        <v>19</v>
      </c>
      <c r="G66" t="s">
        <v>71</v>
      </c>
      <c r="H66">
        <v>1</v>
      </c>
      <c r="J66" t="s">
        <v>17</v>
      </c>
    </row>
    <row r="67" spans="1:12" x14ac:dyDescent="0.3">
      <c r="D67">
        <v>185458</v>
      </c>
      <c r="E67">
        <v>464</v>
      </c>
      <c r="F67" t="s">
        <v>19</v>
      </c>
      <c r="G67" t="s">
        <v>71</v>
      </c>
      <c r="H67">
        <v>1</v>
      </c>
      <c r="J67" t="s">
        <v>17</v>
      </c>
    </row>
    <row r="68" spans="1:12" x14ac:dyDescent="0.3">
      <c r="D68">
        <v>185455</v>
      </c>
      <c r="E68">
        <v>465</v>
      </c>
      <c r="F68" t="s">
        <v>19</v>
      </c>
      <c r="G68" t="s">
        <v>71</v>
      </c>
      <c r="H68">
        <v>1</v>
      </c>
      <c r="J68" t="s">
        <v>17</v>
      </c>
    </row>
    <row r="69" spans="1:12" x14ac:dyDescent="0.3">
      <c r="D69">
        <v>185457</v>
      </c>
      <c r="E69">
        <v>463</v>
      </c>
      <c r="F69" t="s">
        <v>19</v>
      </c>
      <c r="G69" t="s">
        <v>71</v>
      </c>
      <c r="H69">
        <v>1</v>
      </c>
      <c r="J69" t="s">
        <v>17</v>
      </c>
    </row>
    <row r="70" spans="1:12" x14ac:dyDescent="0.3">
      <c r="D70">
        <v>185460</v>
      </c>
      <c r="E70">
        <v>460</v>
      </c>
      <c r="F70" t="s">
        <v>19</v>
      </c>
      <c r="G70" t="s">
        <v>71</v>
      </c>
      <c r="H70">
        <v>1</v>
      </c>
      <c r="I70" t="s">
        <v>39</v>
      </c>
      <c r="J70" t="s">
        <v>17</v>
      </c>
    </row>
    <row r="72" spans="1:12" x14ac:dyDescent="0.3">
      <c r="A72" s="2">
        <v>46184</v>
      </c>
      <c r="B72">
        <v>18446</v>
      </c>
      <c r="C72" t="s">
        <v>15</v>
      </c>
      <c r="D72">
        <v>182502</v>
      </c>
      <c r="E72">
        <v>8055</v>
      </c>
      <c r="F72" t="s">
        <v>16</v>
      </c>
      <c r="G72" t="s">
        <v>71</v>
      </c>
      <c r="H72">
        <v>1</v>
      </c>
      <c r="J72" t="s">
        <v>17</v>
      </c>
    </row>
    <row r="73" spans="1:12" x14ac:dyDescent="0.3">
      <c r="D73">
        <v>185452</v>
      </c>
      <c r="E73">
        <v>8227</v>
      </c>
      <c r="F73" t="s">
        <v>16</v>
      </c>
      <c r="G73" t="s">
        <v>71</v>
      </c>
      <c r="H73">
        <v>1</v>
      </c>
      <c r="J73" t="s">
        <v>17</v>
      </c>
    </row>
    <row r="74" spans="1:12" x14ac:dyDescent="0.3">
      <c r="D74">
        <v>185026</v>
      </c>
      <c r="E74">
        <v>7934</v>
      </c>
      <c r="F74" t="s">
        <v>16</v>
      </c>
      <c r="G74" t="s">
        <v>71</v>
      </c>
      <c r="H74">
        <v>1</v>
      </c>
      <c r="I74" t="s">
        <v>40</v>
      </c>
      <c r="J74" t="s">
        <v>17</v>
      </c>
    </row>
    <row r="76" spans="1:12" x14ac:dyDescent="0.3">
      <c r="A76" s="2">
        <v>46184</v>
      </c>
      <c r="B76">
        <v>18573</v>
      </c>
      <c r="C76" t="s">
        <v>15</v>
      </c>
      <c r="D76">
        <v>185821</v>
      </c>
      <c r="E76">
        <v>160</v>
      </c>
      <c r="F76" t="s">
        <v>41</v>
      </c>
      <c r="G76" t="s">
        <v>71</v>
      </c>
      <c r="H76">
        <v>1</v>
      </c>
      <c r="I76" t="s">
        <v>37</v>
      </c>
      <c r="J76" t="s">
        <v>17</v>
      </c>
      <c r="L76" t="s">
        <v>42</v>
      </c>
    </row>
    <row r="77" spans="1:12" x14ac:dyDescent="0.3">
      <c r="J77" t="s">
        <v>36</v>
      </c>
    </row>
    <row r="78" spans="1:12" x14ac:dyDescent="0.3">
      <c r="A78" s="2">
        <v>46184</v>
      </c>
      <c r="B78">
        <v>2739</v>
      </c>
      <c r="C78" t="s">
        <v>15</v>
      </c>
      <c r="D78">
        <v>185326</v>
      </c>
      <c r="E78">
        <v>8153</v>
      </c>
      <c r="F78" t="s">
        <v>16</v>
      </c>
      <c r="G78" t="s">
        <v>71</v>
      </c>
      <c r="H78">
        <v>1</v>
      </c>
      <c r="J78" t="s">
        <v>17</v>
      </c>
    </row>
    <row r="79" spans="1:12" x14ac:dyDescent="0.3">
      <c r="D79">
        <v>185327</v>
      </c>
      <c r="E79">
        <v>8129</v>
      </c>
      <c r="F79" t="s">
        <v>16</v>
      </c>
      <c r="G79" t="s">
        <v>71</v>
      </c>
      <c r="H79">
        <v>1</v>
      </c>
      <c r="I79" t="s">
        <v>23</v>
      </c>
      <c r="J79" t="s">
        <v>17</v>
      </c>
    </row>
    <row r="81" spans="1:10" x14ac:dyDescent="0.3">
      <c r="A81" s="2">
        <v>46185</v>
      </c>
      <c r="B81">
        <v>18596</v>
      </c>
      <c r="C81" t="s">
        <v>15</v>
      </c>
      <c r="D81" t="s">
        <v>43</v>
      </c>
      <c r="E81">
        <v>159</v>
      </c>
      <c r="F81" t="s">
        <v>41</v>
      </c>
      <c r="G81" t="s">
        <v>71</v>
      </c>
      <c r="H81">
        <v>1</v>
      </c>
      <c r="I81" t="s">
        <v>44</v>
      </c>
      <c r="J81" t="s">
        <v>17</v>
      </c>
    </row>
    <row r="83" spans="1:10" x14ac:dyDescent="0.3">
      <c r="A83" s="2">
        <v>46186</v>
      </c>
      <c r="B83">
        <v>18468</v>
      </c>
      <c r="C83" t="s">
        <v>15</v>
      </c>
      <c r="D83">
        <v>185347</v>
      </c>
      <c r="E83">
        <v>294</v>
      </c>
      <c r="F83" t="s">
        <v>45</v>
      </c>
      <c r="G83" t="s">
        <v>71</v>
      </c>
      <c r="H83">
        <v>1</v>
      </c>
      <c r="J83" t="s">
        <v>17</v>
      </c>
    </row>
    <row r="84" spans="1:10" x14ac:dyDescent="0.3">
      <c r="D84">
        <v>185064</v>
      </c>
      <c r="E84">
        <v>286</v>
      </c>
      <c r="F84" t="s">
        <v>45</v>
      </c>
      <c r="G84" t="s">
        <v>71</v>
      </c>
      <c r="H84">
        <v>1</v>
      </c>
      <c r="J84" t="s">
        <v>17</v>
      </c>
    </row>
    <row r="85" spans="1:10" x14ac:dyDescent="0.3">
      <c r="D85">
        <v>185063</v>
      </c>
      <c r="E85">
        <v>285</v>
      </c>
      <c r="F85" t="s">
        <v>45</v>
      </c>
      <c r="G85" t="s">
        <v>71</v>
      </c>
      <c r="H85">
        <v>1</v>
      </c>
      <c r="J85" t="s">
        <v>17</v>
      </c>
    </row>
    <row r="86" spans="1:10" x14ac:dyDescent="0.3">
      <c r="D86">
        <v>184944</v>
      </c>
      <c r="E86">
        <v>174</v>
      </c>
      <c r="F86" t="s">
        <v>24</v>
      </c>
      <c r="G86" t="s">
        <v>71</v>
      </c>
      <c r="H86">
        <v>1</v>
      </c>
      <c r="I86" t="s">
        <v>46</v>
      </c>
      <c r="J86" t="s">
        <v>17</v>
      </c>
    </row>
    <row r="88" spans="1:10" x14ac:dyDescent="0.3">
      <c r="A88" s="2">
        <v>46189</v>
      </c>
      <c r="B88">
        <v>2750</v>
      </c>
      <c r="C88" t="s">
        <v>15</v>
      </c>
      <c r="D88">
        <v>185068</v>
      </c>
      <c r="E88">
        <v>471</v>
      </c>
      <c r="F88" t="s">
        <v>47</v>
      </c>
      <c r="G88" t="s">
        <v>71</v>
      </c>
      <c r="H88">
        <v>1</v>
      </c>
      <c r="J88" t="s">
        <v>17</v>
      </c>
    </row>
    <row r="89" spans="1:10" x14ac:dyDescent="0.3">
      <c r="D89">
        <v>185067</v>
      </c>
      <c r="E89">
        <v>470</v>
      </c>
      <c r="F89" t="s">
        <v>47</v>
      </c>
      <c r="G89" t="s">
        <v>71</v>
      </c>
      <c r="H89">
        <v>1</v>
      </c>
      <c r="J89" t="s">
        <v>17</v>
      </c>
    </row>
    <row r="90" spans="1:10" x14ac:dyDescent="0.3">
      <c r="D90">
        <v>185203</v>
      </c>
      <c r="E90">
        <v>489</v>
      </c>
      <c r="F90" t="s">
        <v>47</v>
      </c>
      <c r="G90" t="s">
        <v>71</v>
      </c>
      <c r="H90">
        <v>1</v>
      </c>
      <c r="J90" t="s">
        <v>17</v>
      </c>
    </row>
    <row r="91" spans="1:10" x14ac:dyDescent="0.3">
      <c r="D91">
        <v>184945</v>
      </c>
      <c r="E91">
        <v>175</v>
      </c>
      <c r="F91" t="s">
        <v>24</v>
      </c>
      <c r="G91" t="s">
        <v>71</v>
      </c>
      <c r="H91">
        <v>1</v>
      </c>
      <c r="J91" t="s">
        <v>17</v>
      </c>
    </row>
    <row r="92" spans="1:10" x14ac:dyDescent="0.3">
      <c r="D92">
        <v>185062</v>
      </c>
      <c r="E92">
        <v>284</v>
      </c>
      <c r="F92" t="s">
        <v>45</v>
      </c>
      <c r="G92" t="s">
        <v>71</v>
      </c>
      <c r="H92">
        <v>1</v>
      </c>
      <c r="J92" t="s">
        <v>17</v>
      </c>
    </row>
    <row r="93" spans="1:10" x14ac:dyDescent="0.3">
      <c r="D93">
        <v>185205</v>
      </c>
      <c r="E93">
        <v>488</v>
      </c>
      <c r="F93" t="s">
        <v>18</v>
      </c>
      <c r="G93" t="s">
        <v>71</v>
      </c>
      <c r="H93">
        <v>1</v>
      </c>
      <c r="J93" t="s">
        <v>17</v>
      </c>
    </row>
    <row r="94" spans="1:10" x14ac:dyDescent="0.3">
      <c r="D94">
        <v>184749</v>
      </c>
      <c r="E94">
        <v>130</v>
      </c>
      <c r="F94" t="s">
        <v>48</v>
      </c>
      <c r="G94" t="s">
        <v>71</v>
      </c>
      <c r="H94">
        <v>1</v>
      </c>
      <c r="J94" t="s">
        <v>17</v>
      </c>
    </row>
    <row r="95" spans="1:10" x14ac:dyDescent="0.3">
      <c r="D95">
        <v>185169</v>
      </c>
      <c r="E95">
        <v>480</v>
      </c>
      <c r="F95" t="s">
        <v>18</v>
      </c>
      <c r="G95" t="s">
        <v>71</v>
      </c>
      <c r="H95">
        <v>1</v>
      </c>
      <c r="I95" t="s">
        <v>20</v>
      </c>
      <c r="J95" t="s">
        <v>17</v>
      </c>
    </row>
    <row r="96" spans="1:10" x14ac:dyDescent="0.3">
      <c r="A96" s="2"/>
    </row>
    <row r="97" spans="1:12" x14ac:dyDescent="0.3">
      <c r="A97" s="2">
        <v>46189</v>
      </c>
      <c r="B97">
        <v>2748</v>
      </c>
      <c r="C97" t="s">
        <v>15</v>
      </c>
      <c r="D97">
        <v>186103</v>
      </c>
      <c r="E97">
        <v>8674</v>
      </c>
      <c r="F97" t="s">
        <v>16</v>
      </c>
      <c r="G97" t="s">
        <v>71</v>
      </c>
      <c r="H97">
        <v>1</v>
      </c>
      <c r="J97" t="s">
        <v>17</v>
      </c>
    </row>
    <row r="98" spans="1:12" x14ac:dyDescent="0.3">
      <c r="D98">
        <v>185061</v>
      </c>
      <c r="E98">
        <v>283</v>
      </c>
      <c r="F98" t="s">
        <v>45</v>
      </c>
      <c r="G98" t="s">
        <v>71</v>
      </c>
      <c r="H98">
        <v>1</v>
      </c>
      <c r="J98" t="s">
        <v>17</v>
      </c>
    </row>
    <row r="99" spans="1:12" x14ac:dyDescent="0.3">
      <c r="D99">
        <v>186121</v>
      </c>
      <c r="E99">
        <v>416</v>
      </c>
      <c r="F99" t="s">
        <v>49</v>
      </c>
      <c r="G99" t="s">
        <v>71</v>
      </c>
      <c r="H99">
        <v>1</v>
      </c>
      <c r="J99" t="s">
        <v>17</v>
      </c>
      <c r="L99" t="s">
        <v>42</v>
      </c>
    </row>
    <row r="100" spans="1:12" x14ac:dyDescent="0.3">
      <c r="D100">
        <v>186233</v>
      </c>
      <c r="E100">
        <v>84</v>
      </c>
      <c r="F100" t="s">
        <v>50</v>
      </c>
      <c r="G100" t="s">
        <v>71</v>
      </c>
      <c r="H100">
        <v>1</v>
      </c>
      <c r="J100" t="s">
        <v>17</v>
      </c>
    </row>
    <row r="101" spans="1:12" x14ac:dyDescent="0.3">
      <c r="D101">
        <v>185345</v>
      </c>
      <c r="E101">
        <v>492</v>
      </c>
      <c r="F101" t="s">
        <v>18</v>
      </c>
      <c r="G101" t="s">
        <v>71</v>
      </c>
      <c r="H101">
        <v>1</v>
      </c>
      <c r="J101" t="s">
        <v>17</v>
      </c>
    </row>
    <row r="102" spans="1:12" x14ac:dyDescent="0.3">
      <c r="D102">
        <v>186232</v>
      </c>
      <c r="E102">
        <v>85</v>
      </c>
      <c r="F102" t="s">
        <v>50</v>
      </c>
      <c r="G102" t="s">
        <v>71</v>
      </c>
      <c r="H102">
        <v>1</v>
      </c>
      <c r="J102" t="s">
        <v>17</v>
      </c>
    </row>
    <row r="103" spans="1:12" x14ac:dyDescent="0.3">
      <c r="D103">
        <v>186120</v>
      </c>
      <c r="E103">
        <v>415</v>
      </c>
      <c r="F103" t="s">
        <v>49</v>
      </c>
      <c r="G103" t="s">
        <v>71</v>
      </c>
      <c r="H103">
        <v>1</v>
      </c>
      <c r="I103" t="s">
        <v>29</v>
      </c>
      <c r="J103" t="s">
        <v>17</v>
      </c>
      <c r="L103" t="s">
        <v>42</v>
      </c>
    </row>
    <row r="105" spans="1:12" x14ac:dyDescent="0.3">
      <c r="A105" s="2">
        <v>46189</v>
      </c>
      <c r="B105">
        <v>2747</v>
      </c>
      <c r="C105" t="s">
        <v>15</v>
      </c>
      <c r="D105">
        <v>186035</v>
      </c>
      <c r="E105">
        <v>8597</v>
      </c>
      <c r="F105" t="s">
        <v>16</v>
      </c>
      <c r="G105" t="s">
        <v>71</v>
      </c>
      <c r="H105">
        <v>1</v>
      </c>
      <c r="J105" t="s">
        <v>17</v>
      </c>
    </row>
    <row r="106" spans="1:12" x14ac:dyDescent="0.3">
      <c r="D106">
        <v>186363</v>
      </c>
      <c r="E106">
        <v>479</v>
      </c>
      <c r="F106" t="s">
        <v>19</v>
      </c>
      <c r="G106" t="s">
        <v>71</v>
      </c>
      <c r="H106">
        <v>1</v>
      </c>
      <c r="J106" t="s">
        <v>17</v>
      </c>
    </row>
    <row r="107" spans="1:12" x14ac:dyDescent="0.3">
      <c r="D107">
        <v>186036</v>
      </c>
      <c r="E107">
        <v>8625</v>
      </c>
      <c r="F107" t="s">
        <v>16</v>
      </c>
      <c r="G107" t="s">
        <v>71</v>
      </c>
      <c r="H107">
        <v>1</v>
      </c>
      <c r="J107" t="s">
        <v>17</v>
      </c>
    </row>
    <row r="108" spans="1:12" x14ac:dyDescent="0.3">
      <c r="D108">
        <v>186367</v>
      </c>
      <c r="E108">
        <v>481</v>
      </c>
      <c r="F108" t="s">
        <v>19</v>
      </c>
      <c r="G108" t="s">
        <v>71</v>
      </c>
      <c r="H108">
        <v>1</v>
      </c>
      <c r="J108" t="s">
        <v>17</v>
      </c>
    </row>
    <row r="109" spans="1:12" x14ac:dyDescent="0.3">
      <c r="D109">
        <v>186365</v>
      </c>
      <c r="E109">
        <v>483</v>
      </c>
      <c r="F109" t="s">
        <v>19</v>
      </c>
      <c r="G109" t="s">
        <v>71</v>
      </c>
      <c r="H109">
        <v>1</v>
      </c>
      <c r="J109" t="s">
        <v>17</v>
      </c>
    </row>
    <row r="110" spans="1:12" x14ac:dyDescent="0.3">
      <c r="D110">
        <v>186366</v>
      </c>
      <c r="E110">
        <v>482</v>
      </c>
      <c r="F110" t="s">
        <v>19</v>
      </c>
      <c r="G110" t="s">
        <v>71</v>
      </c>
      <c r="H110">
        <v>1</v>
      </c>
      <c r="J110" t="s">
        <v>17</v>
      </c>
    </row>
    <row r="111" spans="1:12" x14ac:dyDescent="0.3">
      <c r="D111">
        <v>184785</v>
      </c>
      <c r="E111">
        <v>876</v>
      </c>
      <c r="F111" t="s">
        <v>51</v>
      </c>
      <c r="G111" t="s">
        <v>71</v>
      </c>
      <c r="H111">
        <v>1</v>
      </c>
      <c r="I111" t="s">
        <v>29</v>
      </c>
      <c r="J111" t="s">
        <v>17</v>
      </c>
    </row>
    <row r="113" spans="1:10" x14ac:dyDescent="0.3">
      <c r="A113" s="2">
        <v>46189</v>
      </c>
      <c r="B113">
        <v>2749</v>
      </c>
      <c r="C113" t="s">
        <v>15</v>
      </c>
      <c r="D113">
        <v>186102</v>
      </c>
      <c r="E113">
        <v>8683</v>
      </c>
      <c r="F113" t="s">
        <v>16</v>
      </c>
      <c r="G113" t="s">
        <v>71</v>
      </c>
      <c r="H113">
        <v>1</v>
      </c>
      <c r="I113" t="s">
        <v>27</v>
      </c>
      <c r="J113" t="s">
        <v>17</v>
      </c>
    </row>
    <row r="115" spans="1:10" x14ac:dyDescent="0.3">
      <c r="A115" s="2">
        <v>46190</v>
      </c>
      <c r="B115">
        <v>2870</v>
      </c>
      <c r="C115" t="s">
        <v>15</v>
      </c>
      <c r="D115">
        <v>186386</v>
      </c>
      <c r="E115">
        <v>3452</v>
      </c>
      <c r="F115" t="s">
        <v>52</v>
      </c>
      <c r="G115" t="s">
        <v>71</v>
      </c>
      <c r="H115">
        <v>1</v>
      </c>
      <c r="J115" t="s">
        <v>17</v>
      </c>
    </row>
    <row r="116" spans="1:10" x14ac:dyDescent="0.3">
      <c r="D116">
        <v>186387</v>
      </c>
      <c r="E116">
        <v>3451</v>
      </c>
      <c r="F116" t="s">
        <v>52</v>
      </c>
      <c r="G116" t="s">
        <v>71</v>
      </c>
      <c r="H116">
        <v>1</v>
      </c>
      <c r="J116" t="s">
        <v>17</v>
      </c>
    </row>
    <row r="117" spans="1:10" x14ac:dyDescent="0.3">
      <c r="D117">
        <v>186396</v>
      </c>
      <c r="E117">
        <v>8763</v>
      </c>
      <c r="F117" t="s">
        <v>16</v>
      </c>
      <c r="G117" t="s">
        <v>71</v>
      </c>
      <c r="H117">
        <v>1</v>
      </c>
      <c r="J117" t="s">
        <v>17</v>
      </c>
    </row>
    <row r="118" spans="1:10" x14ac:dyDescent="0.3">
      <c r="D118">
        <v>186394</v>
      </c>
      <c r="E118">
        <v>8868</v>
      </c>
      <c r="F118" t="s">
        <v>16</v>
      </c>
      <c r="G118" t="s">
        <v>71</v>
      </c>
      <c r="H118">
        <v>1</v>
      </c>
      <c r="J118" t="s">
        <v>17</v>
      </c>
    </row>
    <row r="119" spans="1:10" x14ac:dyDescent="0.3">
      <c r="D119">
        <v>186395</v>
      </c>
      <c r="E119">
        <v>8894</v>
      </c>
      <c r="F119" t="s">
        <v>16</v>
      </c>
      <c r="G119" t="s">
        <v>71</v>
      </c>
      <c r="H119">
        <v>1</v>
      </c>
      <c r="J119" t="s">
        <v>17</v>
      </c>
    </row>
    <row r="120" spans="1:10" x14ac:dyDescent="0.3">
      <c r="D120" t="s">
        <v>53</v>
      </c>
      <c r="E120">
        <v>514</v>
      </c>
      <c r="F120" t="s">
        <v>18</v>
      </c>
      <c r="G120" t="s">
        <v>71</v>
      </c>
      <c r="H120">
        <v>1</v>
      </c>
      <c r="J120" t="s">
        <v>17</v>
      </c>
    </row>
    <row r="121" spans="1:10" x14ac:dyDescent="0.3">
      <c r="D121">
        <v>186392</v>
      </c>
      <c r="E121">
        <v>8864</v>
      </c>
      <c r="F121" t="s">
        <v>16</v>
      </c>
      <c r="G121" t="s">
        <v>71</v>
      </c>
      <c r="H121">
        <v>1</v>
      </c>
      <c r="J121" t="s">
        <v>17</v>
      </c>
    </row>
    <row r="122" spans="1:10" x14ac:dyDescent="0.3">
      <c r="D122">
        <v>186393</v>
      </c>
      <c r="E122">
        <v>8865</v>
      </c>
      <c r="F122" t="s">
        <v>16</v>
      </c>
      <c r="G122" t="s">
        <v>71</v>
      </c>
      <c r="H122">
        <v>1</v>
      </c>
      <c r="I122" t="s">
        <v>20</v>
      </c>
      <c r="J122" t="s">
        <v>17</v>
      </c>
    </row>
    <row r="124" spans="1:10" x14ac:dyDescent="0.3">
      <c r="A124" s="2">
        <v>46190</v>
      </c>
      <c r="B124">
        <v>2871</v>
      </c>
      <c r="C124" t="s">
        <v>15</v>
      </c>
      <c r="D124">
        <v>185030</v>
      </c>
      <c r="E124">
        <v>4981</v>
      </c>
      <c r="F124" t="s">
        <v>54</v>
      </c>
      <c r="G124" t="s">
        <v>73</v>
      </c>
      <c r="H124">
        <v>1</v>
      </c>
      <c r="J124" t="s">
        <v>17</v>
      </c>
    </row>
    <row r="125" spans="1:10" x14ac:dyDescent="0.3">
      <c r="D125">
        <v>184376</v>
      </c>
      <c r="E125">
        <v>4648</v>
      </c>
      <c r="F125" t="s">
        <v>54</v>
      </c>
      <c r="G125" t="s">
        <v>73</v>
      </c>
      <c r="H125">
        <v>1</v>
      </c>
      <c r="J125" t="s">
        <v>17</v>
      </c>
    </row>
    <row r="126" spans="1:10" x14ac:dyDescent="0.3">
      <c r="D126">
        <v>123083</v>
      </c>
      <c r="E126">
        <v>6262</v>
      </c>
      <c r="F126" t="s">
        <v>55</v>
      </c>
      <c r="G126" t="s">
        <v>71</v>
      </c>
      <c r="H126">
        <v>1</v>
      </c>
      <c r="J126" t="s">
        <v>17</v>
      </c>
    </row>
    <row r="127" spans="1:10" x14ac:dyDescent="0.3">
      <c r="D127">
        <v>184940</v>
      </c>
      <c r="E127">
        <v>170</v>
      </c>
      <c r="F127" t="s">
        <v>24</v>
      </c>
      <c r="G127" t="s">
        <v>71</v>
      </c>
      <c r="H127">
        <v>1</v>
      </c>
      <c r="J127" t="s">
        <v>17</v>
      </c>
    </row>
    <row r="128" spans="1:10" x14ac:dyDescent="0.3">
      <c r="D128">
        <v>185173</v>
      </c>
      <c r="E128">
        <v>477</v>
      </c>
      <c r="F128" t="s">
        <v>18</v>
      </c>
      <c r="G128" t="s">
        <v>71</v>
      </c>
      <c r="H128">
        <v>1</v>
      </c>
      <c r="J128" t="s">
        <v>17</v>
      </c>
    </row>
    <row r="129" spans="1:10" x14ac:dyDescent="0.3">
      <c r="D129">
        <v>185204</v>
      </c>
      <c r="E129">
        <v>490</v>
      </c>
      <c r="F129" t="s">
        <v>18</v>
      </c>
      <c r="G129" t="s">
        <v>71</v>
      </c>
      <c r="H129">
        <v>1</v>
      </c>
      <c r="J129" t="s">
        <v>17</v>
      </c>
    </row>
    <row r="130" spans="1:10" x14ac:dyDescent="0.3">
      <c r="D130">
        <v>185167</v>
      </c>
      <c r="E130">
        <v>482</v>
      </c>
      <c r="F130" t="s">
        <v>18</v>
      </c>
      <c r="G130" t="s">
        <v>71</v>
      </c>
      <c r="H130">
        <v>1</v>
      </c>
      <c r="I130" t="s">
        <v>29</v>
      </c>
      <c r="J130" t="s">
        <v>17</v>
      </c>
    </row>
    <row r="132" spans="1:10" x14ac:dyDescent="0.3">
      <c r="A132" s="2">
        <v>46190</v>
      </c>
      <c r="B132">
        <v>2872</v>
      </c>
      <c r="C132" t="s">
        <v>15</v>
      </c>
      <c r="D132">
        <v>186155</v>
      </c>
      <c r="E132">
        <v>2300</v>
      </c>
      <c r="F132" t="s">
        <v>56</v>
      </c>
      <c r="G132" t="s">
        <v>71</v>
      </c>
      <c r="H132">
        <v>1</v>
      </c>
      <c r="J132" t="s">
        <v>17</v>
      </c>
    </row>
    <row r="133" spans="1:10" x14ac:dyDescent="0.3">
      <c r="D133">
        <v>186156</v>
      </c>
      <c r="E133">
        <v>2301</v>
      </c>
      <c r="F133" t="s">
        <v>56</v>
      </c>
      <c r="G133" t="s">
        <v>71</v>
      </c>
      <c r="H133">
        <v>1</v>
      </c>
      <c r="J133" t="s">
        <v>17</v>
      </c>
    </row>
    <row r="134" spans="1:10" x14ac:dyDescent="0.3">
      <c r="D134">
        <v>185509</v>
      </c>
      <c r="E134">
        <v>156</v>
      </c>
      <c r="F134" t="s">
        <v>25</v>
      </c>
      <c r="G134" t="s">
        <v>71</v>
      </c>
      <c r="H134">
        <v>1</v>
      </c>
      <c r="J134" t="s">
        <v>17</v>
      </c>
    </row>
    <row r="135" spans="1:10" x14ac:dyDescent="0.3">
      <c r="D135">
        <v>184938</v>
      </c>
      <c r="E135">
        <v>168</v>
      </c>
      <c r="F135" t="s">
        <v>24</v>
      </c>
      <c r="G135" t="s">
        <v>71</v>
      </c>
      <c r="H135">
        <v>1</v>
      </c>
      <c r="J135" t="s">
        <v>17</v>
      </c>
    </row>
    <row r="136" spans="1:10" x14ac:dyDescent="0.3">
      <c r="D136">
        <v>185842</v>
      </c>
      <c r="E136">
        <v>503</v>
      </c>
      <c r="F136" t="s">
        <v>18</v>
      </c>
      <c r="G136" t="s">
        <v>71</v>
      </c>
      <c r="H136">
        <v>1</v>
      </c>
      <c r="J136" t="s">
        <v>17</v>
      </c>
    </row>
    <row r="137" spans="1:10" x14ac:dyDescent="0.3">
      <c r="D137">
        <v>185843</v>
      </c>
      <c r="E137">
        <v>502</v>
      </c>
      <c r="F137" t="s">
        <v>18</v>
      </c>
      <c r="G137" t="s">
        <v>71</v>
      </c>
      <c r="H137">
        <v>1</v>
      </c>
      <c r="J137" t="s">
        <v>17</v>
      </c>
    </row>
    <row r="138" spans="1:10" x14ac:dyDescent="0.3">
      <c r="D138">
        <v>184939</v>
      </c>
      <c r="E138">
        <v>169</v>
      </c>
      <c r="F138" t="s">
        <v>24</v>
      </c>
      <c r="G138" t="s">
        <v>71</v>
      </c>
      <c r="H138">
        <v>1</v>
      </c>
      <c r="I138" t="s">
        <v>29</v>
      </c>
      <c r="J138" t="s">
        <v>17</v>
      </c>
    </row>
    <row r="140" spans="1:10" x14ac:dyDescent="0.3">
      <c r="A140" s="2">
        <v>46193</v>
      </c>
      <c r="B140">
        <v>2769</v>
      </c>
      <c r="C140" t="s">
        <v>15</v>
      </c>
      <c r="D140">
        <v>185621</v>
      </c>
      <c r="E140">
        <v>8340</v>
      </c>
      <c r="F140" t="s">
        <v>16</v>
      </c>
      <c r="G140" t="s">
        <v>71</v>
      </c>
      <c r="H140">
        <v>1</v>
      </c>
      <c r="J140" t="s">
        <v>17</v>
      </c>
    </row>
    <row r="141" spans="1:10" x14ac:dyDescent="0.3">
      <c r="D141">
        <v>185620</v>
      </c>
      <c r="E141">
        <v>8324</v>
      </c>
      <c r="F141" t="s">
        <v>16</v>
      </c>
      <c r="G141" t="s">
        <v>71</v>
      </c>
      <c r="H141">
        <v>1</v>
      </c>
      <c r="J141" t="s">
        <v>17</v>
      </c>
    </row>
    <row r="142" spans="1:10" x14ac:dyDescent="0.3">
      <c r="D142">
        <v>185619</v>
      </c>
      <c r="E142">
        <v>8323</v>
      </c>
      <c r="F142" t="s">
        <v>16</v>
      </c>
      <c r="G142" t="s">
        <v>71</v>
      </c>
      <c r="H142">
        <v>1</v>
      </c>
      <c r="J142" t="s">
        <v>17</v>
      </c>
    </row>
    <row r="143" spans="1:10" x14ac:dyDescent="0.3">
      <c r="D143">
        <v>185622</v>
      </c>
      <c r="E143">
        <v>8338</v>
      </c>
      <c r="F143" t="s">
        <v>16</v>
      </c>
      <c r="G143" t="s">
        <v>71</v>
      </c>
      <c r="H143">
        <v>1</v>
      </c>
      <c r="J143" t="s">
        <v>17</v>
      </c>
    </row>
    <row r="144" spans="1:10" x14ac:dyDescent="0.3">
      <c r="D144">
        <v>186364</v>
      </c>
      <c r="E144">
        <v>480</v>
      </c>
      <c r="F144" t="s">
        <v>19</v>
      </c>
      <c r="G144" t="s">
        <v>71</v>
      </c>
      <c r="H144">
        <v>1</v>
      </c>
      <c r="I144" t="s">
        <v>26</v>
      </c>
      <c r="J144" t="s">
        <v>17</v>
      </c>
    </row>
    <row r="146" spans="1:12" x14ac:dyDescent="0.3">
      <c r="A146" s="2">
        <v>46193</v>
      </c>
      <c r="B146">
        <v>18660</v>
      </c>
      <c r="C146" t="s">
        <v>15</v>
      </c>
      <c r="D146">
        <v>186481</v>
      </c>
      <c r="E146">
        <v>190</v>
      </c>
      <c r="F146" t="s">
        <v>25</v>
      </c>
      <c r="G146" t="s">
        <v>71</v>
      </c>
      <c r="H146">
        <v>1</v>
      </c>
      <c r="J146" t="s">
        <v>17</v>
      </c>
    </row>
    <row r="147" spans="1:12" x14ac:dyDescent="0.3">
      <c r="D147">
        <v>186582</v>
      </c>
      <c r="E147">
        <v>202</v>
      </c>
      <c r="F147" t="s">
        <v>25</v>
      </c>
      <c r="G147" t="s">
        <v>71</v>
      </c>
      <c r="H147">
        <v>1</v>
      </c>
      <c r="I147" t="s">
        <v>23</v>
      </c>
      <c r="J147" t="s">
        <v>17</v>
      </c>
    </row>
    <row r="149" spans="1:12" x14ac:dyDescent="0.3">
      <c r="A149" s="2">
        <v>46193</v>
      </c>
      <c r="B149">
        <v>18668</v>
      </c>
      <c r="C149" t="s">
        <v>15</v>
      </c>
      <c r="D149">
        <v>186482</v>
      </c>
      <c r="E149">
        <v>189</v>
      </c>
      <c r="F149" t="s">
        <v>25</v>
      </c>
      <c r="G149" t="s">
        <v>71</v>
      </c>
      <c r="H149">
        <v>1</v>
      </c>
      <c r="I149" t="s">
        <v>27</v>
      </c>
      <c r="J149" t="s">
        <v>17</v>
      </c>
    </row>
    <row r="151" spans="1:12" x14ac:dyDescent="0.3">
      <c r="A151" s="2">
        <v>46195</v>
      </c>
      <c r="B151">
        <v>18677</v>
      </c>
      <c r="C151" t="s">
        <v>15</v>
      </c>
      <c r="D151">
        <v>186483</v>
      </c>
      <c r="E151">
        <v>188</v>
      </c>
      <c r="F151" t="s">
        <v>25</v>
      </c>
      <c r="G151" t="s">
        <v>71</v>
      </c>
      <c r="H151">
        <v>1</v>
      </c>
      <c r="I151" t="s">
        <v>27</v>
      </c>
      <c r="J151" t="s">
        <v>17</v>
      </c>
      <c r="L151" t="s">
        <v>57</v>
      </c>
    </row>
    <row r="153" spans="1:12" x14ac:dyDescent="0.3">
      <c r="A153" s="2">
        <v>46195</v>
      </c>
      <c r="B153">
        <v>18689</v>
      </c>
      <c r="C153" t="s">
        <v>15</v>
      </c>
      <c r="D153">
        <v>185510</v>
      </c>
      <c r="E153">
        <v>155</v>
      </c>
      <c r="F153" t="s">
        <v>25</v>
      </c>
      <c r="G153" t="s">
        <v>71</v>
      </c>
      <c r="H153">
        <v>1</v>
      </c>
      <c r="J153" t="s">
        <v>17</v>
      </c>
      <c r="L153" t="s">
        <v>58</v>
      </c>
    </row>
    <row r="154" spans="1:12" x14ac:dyDescent="0.3">
      <c r="D154">
        <v>186580</v>
      </c>
      <c r="E154">
        <v>204</v>
      </c>
      <c r="F154" t="s">
        <v>25</v>
      </c>
      <c r="G154" t="s">
        <v>71</v>
      </c>
      <c r="H154">
        <v>1</v>
      </c>
      <c r="I154" t="s">
        <v>23</v>
      </c>
      <c r="J154" t="s">
        <v>17</v>
      </c>
      <c r="L154" t="s">
        <v>58</v>
      </c>
    </row>
    <row r="156" spans="1:12" x14ac:dyDescent="0.3">
      <c r="A156" s="2">
        <v>46195</v>
      </c>
      <c r="B156">
        <v>18688</v>
      </c>
      <c r="C156" t="s">
        <v>15</v>
      </c>
      <c r="D156">
        <v>185683</v>
      </c>
      <c r="E156">
        <v>497</v>
      </c>
      <c r="F156" t="s">
        <v>18</v>
      </c>
      <c r="G156" t="s">
        <v>71</v>
      </c>
      <c r="H156">
        <v>1</v>
      </c>
      <c r="J156" t="s">
        <v>17</v>
      </c>
    </row>
    <row r="157" spans="1:12" x14ac:dyDescent="0.3">
      <c r="D157">
        <v>185687</v>
      </c>
      <c r="E157">
        <v>501</v>
      </c>
      <c r="F157" t="s">
        <v>18</v>
      </c>
      <c r="G157" t="s">
        <v>71</v>
      </c>
      <c r="H157">
        <v>1</v>
      </c>
      <c r="J157" t="s">
        <v>17</v>
      </c>
    </row>
    <row r="158" spans="1:12" x14ac:dyDescent="0.3">
      <c r="D158">
        <v>183849</v>
      </c>
      <c r="E158">
        <v>7608</v>
      </c>
      <c r="F158" t="s">
        <v>59</v>
      </c>
      <c r="G158" t="s">
        <v>71</v>
      </c>
      <c r="H158">
        <v>1</v>
      </c>
      <c r="J158" t="s">
        <v>17</v>
      </c>
    </row>
    <row r="159" spans="1:12" x14ac:dyDescent="0.3">
      <c r="D159">
        <v>185170</v>
      </c>
      <c r="E159">
        <v>479</v>
      </c>
      <c r="F159" t="s">
        <v>18</v>
      </c>
      <c r="G159" t="s">
        <v>71</v>
      </c>
      <c r="H159">
        <v>1</v>
      </c>
      <c r="J159" t="s">
        <v>17</v>
      </c>
    </row>
    <row r="160" spans="1:12" x14ac:dyDescent="0.3">
      <c r="D160">
        <v>186485</v>
      </c>
      <c r="E160">
        <v>186</v>
      </c>
      <c r="F160" t="s">
        <v>25</v>
      </c>
      <c r="G160" t="s">
        <v>71</v>
      </c>
      <c r="H160">
        <v>1</v>
      </c>
      <c r="I160" t="s">
        <v>26</v>
      </c>
      <c r="J160" t="s">
        <v>17</v>
      </c>
    </row>
    <row r="162" spans="1:10" x14ac:dyDescent="0.3">
      <c r="A162" s="2">
        <v>46197</v>
      </c>
      <c r="B162">
        <v>18710</v>
      </c>
      <c r="C162" t="s">
        <v>15</v>
      </c>
      <c r="D162">
        <v>186964</v>
      </c>
      <c r="E162">
        <v>209</v>
      </c>
      <c r="F162" t="s">
        <v>60</v>
      </c>
      <c r="G162" t="s">
        <v>71</v>
      </c>
      <c r="H162">
        <v>1</v>
      </c>
      <c r="J162" t="s">
        <v>17</v>
      </c>
    </row>
    <row r="163" spans="1:10" x14ac:dyDescent="0.3">
      <c r="D163">
        <v>186963</v>
      </c>
      <c r="E163">
        <v>208</v>
      </c>
      <c r="F163" t="s">
        <v>60</v>
      </c>
      <c r="G163" t="s">
        <v>71</v>
      </c>
      <c r="H163">
        <v>1</v>
      </c>
      <c r="I163" t="s">
        <v>23</v>
      </c>
      <c r="J163" t="s">
        <v>17</v>
      </c>
    </row>
    <row r="165" spans="1:10" x14ac:dyDescent="0.3">
      <c r="A165" s="2">
        <v>46197</v>
      </c>
      <c r="B165">
        <v>18727</v>
      </c>
      <c r="C165" t="s">
        <v>15</v>
      </c>
      <c r="D165">
        <v>186571</v>
      </c>
      <c r="E165">
        <v>9031</v>
      </c>
      <c r="F165" t="s">
        <v>16</v>
      </c>
      <c r="G165" t="s">
        <v>71</v>
      </c>
      <c r="H165">
        <v>1</v>
      </c>
      <c r="J165" t="s">
        <v>17</v>
      </c>
    </row>
    <row r="166" spans="1:10" x14ac:dyDescent="0.3">
      <c r="D166">
        <v>185623</v>
      </c>
      <c r="E166">
        <v>8380</v>
      </c>
      <c r="F166" t="s">
        <v>16</v>
      </c>
      <c r="G166" t="s">
        <v>71</v>
      </c>
      <c r="H166">
        <v>1</v>
      </c>
      <c r="J166" t="s">
        <v>17</v>
      </c>
    </row>
    <row r="167" spans="1:10" x14ac:dyDescent="0.3">
      <c r="D167">
        <v>186731</v>
      </c>
      <c r="E167">
        <v>9115</v>
      </c>
      <c r="F167" t="s">
        <v>16</v>
      </c>
      <c r="G167" t="s">
        <v>71</v>
      </c>
      <c r="H167">
        <v>1</v>
      </c>
      <c r="J167" t="s">
        <v>17</v>
      </c>
    </row>
    <row r="168" spans="1:10" x14ac:dyDescent="0.3">
      <c r="D168">
        <v>186573</v>
      </c>
      <c r="E168">
        <v>8996</v>
      </c>
      <c r="F168" t="s">
        <v>16</v>
      </c>
      <c r="G168" t="s">
        <v>71</v>
      </c>
      <c r="H168">
        <v>1</v>
      </c>
      <c r="J168" t="s">
        <v>17</v>
      </c>
    </row>
    <row r="169" spans="1:10" x14ac:dyDescent="0.3">
      <c r="D169">
        <v>186732</v>
      </c>
      <c r="E169">
        <v>9085</v>
      </c>
      <c r="F169" t="s">
        <v>16</v>
      </c>
      <c r="G169" t="s">
        <v>71</v>
      </c>
      <c r="H169">
        <v>1</v>
      </c>
      <c r="J169" t="s">
        <v>17</v>
      </c>
    </row>
    <row r="170" spans="1:10" x14ac:dyDescent="0.3">
      <c r="D170">
        <v>185785</v>
      </c>
      <c r="E170">
        <v>8389</v>
      </c>
      <c r="F170" t="s">
        <v>16</v>
      </c>
      <c r="G170" t="s">
        <v>71</v>
      </c>
      <c r="H170">
        <v>1</v>
      </c>
      <c r="I170" t="s">
        <v>33</v>
      </c>
      <c r="J170" t="s">
        <v>17</v>
      </c>
    </row>
    <row r="172" spans="1:10" x14ac:dyDescent="0.3">
      <c r="A172" s="2">
        <v>46197</v>
      </c>
      <c r="B172">
        <v>2910</v>
      </c>
      <c r="C172" t="s">
        <v>15</v>
      </c>
      <c r="D172">
        <v>186698</v>
      </c>
      <c r="E172">
        <v>499</v>
      </c>
      <c r="F172" t="s">
        <v>19</v>
      </c>
      <c r="G172" t="s">
        <v>71</v>
      </c>
      <c r="H172">
        <v>1</v>
      </c>
      <c r="J172" t="s">
        <v>17</v>
      </c>
    </row>
    <row r="173" spans="1:10" x14ac:dyDescent="0.3">
      <c r="D173">
        <v>186975</v>
      </c>
      <c r="E173">
        <v>2906</v>
      </c>
      <c r="F173" t="s">
        <v>62</v>
      </c>
      <c r="G173" t="s">
        <v>71</v>
      </c>
      <c r="H173">
        <v>1</v>
      </c>
      <c r="J173" t="s">
        <v>17</v>
      </c>
    </row>
    <row r="174" spans="1:10" x14ac:dyDescent="0.3">
      <c r="D174">
        <v>186738</v>
      </c>
      <c r="E174" t="s">
        <v>63</v>
      </c>
      <c r="F174" t="s">
        <v>56</v>
      </c>
      <c r="G174" t="s">
        <v>71</v>
      </c>
      <c r="H174">
        <v>1</v>
      </c>
      <c r="J174" t="s">
        <v>17</v>
      </c>
    </row>
    <row r="175" spans="1:10" x14ac:dyDescent="0.3">
      <c r="D175">
        <v>186861</v>
      </c>
      <c r="E175">
        <v>2440</v>
      </c>
      <c r="F175" t="s">
        <v>56</v>
      </c>
      <c r="G175" t="s">
        <v>71</v>
      </c>
      <c r="H175">
        <v>1</v>
      </c>
      <c r="J175" t="s">
        <v>17</v>
      </c>
    </row>
    <row r="176" spans="1:10" x14ac:dyDescent="0.3">
      <c r="D176">
        <v>186863</v>
      </c>
      <c r="E176">
        <v>2435</v>
      </c>
      <c r="F176" t="s">
        <v>56</v>
      </c>
      <c r="G176" t="s">
        <v>71</v>
      </c>
      <c r="H176">
        <v>1</v>
      </c>
      <c r="J176" t="s">
        <v>17</v>
      </c>
    </row>
    <row r="177" spans="1:10" x14ac:dyDescent="0.3">
      <c r="D177">
        <v>186865</v>
      </c>
      <c r="E177">
        <v>2414</v>
      </c>
      <c r="F177" t="s">
        <v>56</v>
      </c>
      <c r="G177" t="s">
        <v>71</v>
      </c>
      <c r="H177">
        <v>1</v>
      </c>
      <c r="J177" t="s">
        <v>17</v>
      </c>
    </row>
    <row r="178" spans="1:10" x14ac:dyDescent="0.3">
      <c r="D178">
        <v>186976</v>
      </c>
      <c r="E178">
        <v>2905</v>
      </c>
      <c r="F178" t="s">
        <v>62</v>
      </c>
      <c r="G178" t="s">
        <v>71</v>
      </c>
      <c r="H178">
        <v>1</v>
      </c>
      <c r="J178" t="s">
        <v>17</v>
      </c>
    </row>
    <row r="179" spans="1:10" x14ac:dyDescent="0.3">
      <c r="D179">
        <v>186867</v>
      </c>
      <c r="E179">
        <v>2412</v>
      </c>
      <c r="F179" t="s">
        <v>56</v>
      </c>
      <c r="G179" t="s">
        <v>71</v>
      </c>
      <c r="H179">
        <v>1</v>
      </c>
      <c r="I179" t="s">
        <v>20</v>
      </c>
      <c r="J179" t="s">
        <v>17</v>
      </c>
    </row>
    <row r="181" spans="1:10" x14ac:dyDescent="0.3">
      <c r="A181" s="2">
        <v>46197</v>
      </c>
      <c r="B181">
        <v>264</v>
      </c>
      <c r="C181" t="s">
        <v>15</v>
      </c>
      <c r="D181">
        <v>187017</v>
      </c>
      <c r="E181">
        <v>9284</v>
      </c>
      <c r="F181" t="s">
        <v>16</v>
      </c>
      <c r="G181" t="s">
        <v>71</v>
      </c>
      <c r="H181">
        <v>1</v>
      </c>
      <c r="J181" t="s">
        <v>17</v>
      </c>
    </row>
    <row r="182" spans="1:10" x14ac:dyDescent="0.3">
      <c r="D182">
        <v>186868</v>
      </c>
      <c r="E182">
        <v>2416</v>
      </c>
      <c r="F182" t="s">
        <v>64</v>
      </c>
      <c r="G182" t="s">
        <v>71</v>
      </c>
      <c r="H182">
        <v>1</v>
      </c>
      <c r="J182" t="s">
        <v>17</v>
      </c>
    </row>
    <row r="183" spans="1:10" x14ac:dyDescent="0.3">
      <c r="D183">
        <v>186864</v>
      </c>
      <c r="E183">
        <v>2415</v>
      </c>
      <c r="F183" t="s">
        <v>64</v>
      </c>
      <c r="G183" t="s">
        <v>71</v>
      </c>
      <c r="H183">
        <v>1</v>
      </c>
      <c r="J183" t="s">
        <v>17</v>
      </c>
    </row>
    <row r="184" spans="1:10" x14ac:dyDescent="0.3">
      <c r="D184">
        <v>187018</v>
      </c>
      <c r="E184">
        <v>9283</v>
      </c>
      <c r="F184" t="s">
        <v>16</v>
      </c>
      <c r="G184" t="s">
        <v>71</v>
      </c>
      <c r="H184">
        <v>1</v>
      </c>
      <c r="J184" t="s">
        <v>17</v>
      </c>
    </row>
    <row r="185" spans="1:10" x14ac:dyDescent="0.3">
      <c r="D185">
        <v>185685</v>
      </c>
      <c r="E185">
        <v>499</v>
      </c>
      <c r="F185" t="s">
        <v>18</v>
      </c>
      <c r="G185" t="s">
        <v>71</v>
      </c>
      <c r="H185">
        <v>1</v>
      </c>
      <c r="J185" t="s">
        <v>17</v>
      </c>
    </row>
    <row r="186" spans="1:10" x14ac:dyDescent="0.3">
      <c r="D186">
        <v>185684</v>
      </c>
      <c r="E186">
        <v>498</v>
      </c>
      <c r="F186" t="s">
        <v>18</v>
      </c>
      <c r="G186" t="s">
        <v>71</v>
      </c>
      <c r="H186">
        <v>1</v>
      </c>
      <c r="J186" t="s">
        <v>17</v>
      </c>
    </row>
    <row r="187" spans="1:10" x14ac:dyDescent="0.3">
      <c r="D187" t="s">
        <v>65</v>
      </c>
      <c r="E187">
        <v>519</v>
      </c>
      <c r="F187" t="s">
        <v>18</v>
      </c>
      <c r="G187" t="s">
        <v>71</v>
      </c>
      <c r="H187">
        <v>1</v>
      </c>
      <c r="J187" t="s">
        <v>17</v>
      </c>
    </row>
    <row r="188" spans="1:10" x14ac:dyDescent="0.3">
      <c r="D188">
        <v>185603</v>
      </c>
      <c r="E188">
        <v>468</v>
      </c>
      <c r="F188" t="s">
        <v>19</v>
      </c>
      <c r="G188" t="s">
        <v>71</v>
      </c>
      <c r="H188">
        <v>1</v>
      </c>
      <c r="J188" t="s">
        <v>17</v>
      </c>
    </row>
    <row r="189" spans="1:10" x14ac:dyDescent="0.3">
      <c r="D189">
        <v>183851</v>
      </c>
      <c r="E189">
        <v>7584</v>
      </c>
      <c r="F189" t="s">
        <v>59</v>
      </c>
      <c r="G189" t="s">
        <v>71</v>
      </c>
      <c r="H189">
        <v>1</v>
      </c>
      <c r="J189" t="s">
        <v>17</v>
      </c>
    </row>
    <row r="190" spans="1:10" x14ac:dyDescent="0.3">
      <c r="D190">
        <v>186947</v>
      </c>
      <c r="E190">
        <v>1065</v>
      </c>
      <c r="F190" t="s">
        <v>28</v>
      </c>
      <c r="G190" t="s">
        <v>71</v>
      </c>
      <c r="H190">
        <v>1</v>
      </c>
      <c r="J190" t="s">
        <v>61</v>
      </c>
    </row>
    <row r="191" spans="1:10" x14ac:dyDescent="0.3">
      <c r="D191">
        <v>185686</v>
      </c>
      <c r="E191">
        <v>500</v>
      </c>
      <c r="F191" t="s">
        <v>18</v>
      </c>
      <c r="G191" t="s">
        <v>71</v>
      </c>
      <c r="H191">
        <v>1</v>
      </c>
      <c r="J191" t="s">
        <v>17</v>
      </c>
    </row>
    <row r="192" spans="1:10" x14ac:dyDescent="0.3">
      <c r="D192">
        <v>186484</v>
      </c>
      <c r="E192">
        <v>187</v>
      </c>
      <c r="F192" t="s">
        <v>25</v>
      </c>
      <c r="G192" t="s">
        <v>71</v>
      </c>
      <c r="H192">
        <v>1</v>
      </c>
      <c r="J192" t="s">
        <v>17</v>
      </c>
    </row>
    <row r="193" spans="1:13" x14ac:dyDescent="0.3">
      <c r="D193">
        <v>187063</v>
      </c>
      <c r="E193">
        <v>235</v>
      </c>
      <c r="F193" t="s">
        <v>25</v>
      </c>
      <c r="G193" t="s">
        <v>71</v>
      </c>
      <c r="H193">
        <v>1</v>
      </c>
      <c r="J193" t="s">
        <v>17</v>
      </c>
    </row>
    <row r="194" spans="1:13" x14ac:dyDescent="0.3">
      <c r="D194">
        <v>186885</v>
      </c>
      <c r="E194">
        <v>9176</v>
      </c>
      <c r="F194" t="s">
        <v>16</v>
      </c>
      <c r="G194" t="s">
        <v>71</v>
      </c>
      <c r="H194">
        <v>1</v>
      </c>
      <c r="J194" t="s">
        <v>17</v>
      </c>
    </row>
    <row r="195" spans="1:13" x14ac:dyDescent="0.3">
      <c r="D195">
        <v>186767</v>
      </c>
      <c r="E195">
        <v>989</v>
      </c>
      <c r="F195" t="s">
        <v>107</v>
      </c>
      <c r="G195" t="s">
        <v>71</v>
      </c>
      <c r="H195">
        <v>1</v>
      </c>
      <c r="J195" t="s">
        <v>17</v>
      </c>
    </row>
    <row r="196" spans="1:13" x14ac:dyDescent="0.3">
      <c r="D196">
        <v>186579</v>
      </c>
      <c r="E196">
        <v>205</v>
      </c>
      <c r="F196" t="s">
        <v>25</v>
      </c>
      <c r="G196" t="s">
        <v>71</v>
      </c>
      <c r="H196">
        <v>1</v>
      </c>
      <c r="J196" t="s">
        <v>17</v>
      </c>
      <c r="M196" t="s">
        <v>66</v>
      </c>
    </row>
    <row r="197" spans="1:13" x14ac:dyDescent="0.3">
      <c r="D197">
        <v>186948</v>
      </c>
      <c r="E197">
        <v>1064</v>
      </c>
      <c r="F197" t="s">
        <v>51</v>
      </c>
      <c r="G197" t="s">
        <v>71</v>
      </c>
      <c r="H197">
        <v>1</v>
      </c>
      <c r="I197" t="s">
        <v>67</v>
      </c>
      <c r="J197" t="s">
        <v>17</v>
      </c>
    </row>
    <row r="199" spans="1:13" x14ac:dyDescent="0.3">
      <c r="A199" s="2">
        <v>46198</v>
      </c>
      <c r="B199">
        <v>2875</v>
      </c>
      <c r="C199" t="s">
        <v>15</v>
      </c>
      <c r="D199">
        <v>186765</v>
      </c>
      <c r="E199">
        <v>990</v>
      </c>
      <c r="F199" t="s">
        <v>107</v>
      </c>
      <c r="G199" t="s">
        <v>71</v>
      </c>
      <c r="H199">
        <v>1</v>
      </c>
      <c r="J199" t="s">
        <v>17</v>
      </c>
    </row>
    <row r="200" spans="1:13" x14ac:dyDescent="0.3">
      <c r="D200">
        <v>186771</v>
      </c>
      <c r="E200">
        <v>501</v>
      </c>
      <c r="F200" t="s">
        <v>19</v>
      </c>
      <c r="G200" t="s">
        <v>71</v>
      </c>
      <c r="H200">
        <v>1</v>
      </c>
      <c r="J200" t="s">
        <v>17</v>
      </c>
    </row>
    <row r="201" spans="1:13" x14ac:dyDescent="0.3">
      <c r="D201">
        <v>186768</v>
      </c>
      <c r="E201">
        <v>500</v>
      </c>
      <c r="F201" t="s">
        <v>19</v>
      </c>
      <c r="G201" t="s">
        <v>71</v>
      </c>
      <c r="H201">
        <v>1</v>
      </c>
      <c r="J201" t="s">
        <v>17</v>
      </c>
    </row>
    <row r="202" spans="1:13" x14ac:dyDescent="0.3">
      <c r="D202">
        <v>186769</v>
      </c>
      <c r="E202">
        <v>503</v>
      </c>
      <c r="F202" t="s">
        <v>19</v>
      </c>
      <c r="G202" t="s">
        <v>71</v>
      </c>
      <c r="H202">
        <v>1</v>
      </c>
      <c r="J202" t="s">
        <v>17</v>
      </c>
    </row>
    <row r="203" spans="1:13" x14ac:dyDescent="0.3">
      <c r="D203">
        <v>186766</v>
      </c>
      <c r="E203">
        <v>991</v>
      </c>
      <c r="F203" t="s">
        <v>107</v>
      </c>
      <c r="G203" t="s">
        <v>71</v>
      </c>
      <c r="H203">
        <v>1</v>
      </c>
      <c r="J203" t="s">
        <v>17</v>
      </c>
    </row>
    <row r="204" spans="1:13" x14ac:dyDescent="0.3">
      <c r="D204">
        <v>186884</v>
      </c>
      <c r="E204">
        <v>9259</v>
      </c>
      <c r="F204" t="s">
        <v>16</v>
      </c>
      <c r="G204" t="s">
        <v>71</v>
      </c>
      <c r="H204">
        <v>1</v>
      </c>
      <c r="J204" t="s">
        <v>17</v>
      </c>
    </row>
    <row r="205" spans="1:13" x14ac:dyDescent="0.3">
      <c r="D205">
        <v>186770</v>
      </c>
      <c r="E205">
        <v>502</v>
      </c>
      <c r="F205" t="s">
        <v>19</v>
      </c>
      <c r="G205" t="s">
        <v>71</v>
      </c>
      <c r="H205">
        <v>1</v>
      </c>
      <c r="I205" t="s">
        <v>29</v>
      </c>
      <c r="J205" t="s">
        <v>17</v>
      </c>
    </row>
    <row r="207" spans="1:13" x14ac:dyDescent="0.3">
      <c r="A207" s="2">
        <v>46199</v>
      </c>
      <c r="B207">
        <v>2880</v>
      </c>
      <c r="C207" t="s">
        <v>15</v>
      </c>
      <c r="D207">
        <v>187127</v>
      </c>
      <c r="E207">
        <v>545</v>
      </c>
      <c r="F207" t="s">
        <v>18</v>
      </c>
      <c r="G207" t="s">
        <v>71</v>
      </c>
      <c r="H207">
        <v>1</v>
      </c>
      <c r="J207" t="s">
        <v>17</v>
      </c>
    </row>
    <row r="208" spans="1:13" x14ac:dyDescent="0.3">
      <c r="D208">
        <v>186492</v>
      </c>
      <c r="E208">
        <v>3497</v>
      </c>
      <c r="F208" t="s">
        <v>52</v>
      </c>
      <c r="G208" t="s">
        <v>71</v>
      </c>
      <c r="H208">
        <v>1</v>
      </c>
      <c r="J208" t="s">
        <v>17</v>
      </c>
    </row>
    <row r="209" spans="1:10" x14ac:dyDescent="0.3">
      <c r="D209">
        <v>186574</v>
      </c>
      <c r="E209">
        <v>8952</v>
      </c>
      <c r="F209" t="s">
        <v>16</v>
      </c>
      <c r="G209" t="s">
        <v>71</v>
      </c>
      <c r="H209">
        <v>1</v>
      </c>
      <c r="J209" t="s">
        <v>17</v>
      </c>
    </row>
    <row r="210" spans="1:10" x14ac:dyDescent="0.3">
      <c r="D210">
        <v>186576</v>
      </c>
      <c r="E210">
        <v>8945</v>
      </c>
      <c r="F210" t="s">
        <v>16</v>
      </c>
      <c r="G210" t="s">
        <v>71</v>
      </c>
      <c r="H210">
        <v>1</v>
      </c>
      <c r="J210" t="s">
        <v>17</v>
      </c>
    </row>
    <row r="211" spans="1:10" x14ac:dyDescent="0.3">
      <c r="D211" t="s">
        <v>68</v>
      </c>
      <c r="E211">
        <v>518</v>
      </c>
      <c r="F211" t="s">
        <v>18</v>
      </c>
      <c r="G211" t="s">
        <v>71</v>
      </c>
      <c r="H211">
        <v>1</v>
      </c>
      <c r="J211" t="s">
        <v>17</v>
      </c>
    </row>
    <row r="212" spans="1:10" x14ac:dyDescent="0.3">
      <c r="D212">
        <v>187259</v>
      </c>
      <c r="E212">
        <v>1106</v>
      </c>
      <c r="F212" t="s">
        <v>51</v>
      </c>
      <c r="G212" t="s">
        <v>71</v>
      </c>
      <c r="H212">
        <v>1</v>
      </c>
      <c r="J212" t="s">
        <v>17</v>
      </c>
    </row>
    <row r="213" spans="1:10" x14ac:dyDescent="0.3">
      <c r="D213">
        <v>187260</v>
      </c>
      <c r="E213">
        <v>1105</v>
      </c>
      <c r="F213" t="s">
        <v>51</v>
      </c>
      <c r="G213" t="s">
        <v>71</v>
      </c>
      <c r="H213">
        <v>1</v>
      </c>
      <c r="J213" t="s">
        <v>17</v>
      </c>
    </row>
    <row r="214" spans="1:10" x14ac:dyDescent="0.3">
      <c r="D214">
        <v>186493</v>
      </c>
      <c r="E214">
        <v>3480</v>
      </c>
      <c r="F214" t="s">
        <v>52</v>
      </c>
      <c r="G214" t="s">
        <v>71</v>
      </c>
      <c r="H214">
        <v>1</v>
      </c>
      <c r="I214" t="s">
        <v>20</v>
      </c>
      <c r="J214" t="s">
        <v>17</v>
      </c>
    </row>
    <row r="216" spans="1:10" x14ac:dyDescent="0.3">
      <c r="A216" s="2">
        <v>46202</v>
      </c>
      <c r="B216">
        <v>18847</v>
      </c>
      <c r="C216" t="s">
        <v>15</v>
      </c>
      <c r="D216">
        <v>178506</v>
      </c>
      <c r="E216">
        <v>48759</v>
      </c>
      <c r="F216" t="s">
        <v>59</v>
      </c>
      <c r="G216" t="s">
        <v>71</v>
      </c>
      <c r="H216">
        <v>1</v>
      </c>
      <c r="J216" t="s">
        <v>17</v>
      </c>
    </row>
    <row r="217" spans="1:10" x14ac:dyDescent="0.3">
      <c r="D217">
        <v>183242</v>
      </c>
      <c r="E217">
        <v>6593</v>
      </c>
      <c r="F217" t="s">
        <v>59</v>
      </c>
      <c r="G217" t="s">
        <v>71</v>
      </c>
      <c r="H217">
        <v>1</v>
      </c>
      <c r="J217" t="s">
        <v>17</v>
      </c>
    </row>
    <row r="218" spans="1:10" x14ac:dyDescent="0.3">
      <c r="D218">
        <v>183708</v>
      </c>
      <c r="E218">
        <v>7481</v>
      </c>
      <c r="F218" t="s">
        <v>59</v>
      </c>
      <c r="G218" t="s">
        <v>71</v>
      </c>
      <c r="H218">
        <v>1</v>
      </c>
      <c r="J218" t="s">
        <v>17</v>
      </c>
    </row>
    <row r="219" spans="1:10" x14ac:dyDescent="0.3">
      <c r="D219">
        <v>183850</v>
      </c>
      <c r="E219">
        <v>7591</v>
      </c>
      <c r="F219" t="s">
        <v>59</v>
      </c>
      <c r="G219" t="s">
        <v>71</v>
      </c>
      <c r="H219">
        <v>1</v>
      </c>
      <c r="J219" t="s">
        <v>17</v>
      </c>
    </row>
    <row r="220" spans="1:10" x14ac:dyDescent="0.3">
      <c r="D220">
        <v>186581</v>
      </c>
      <c r="E220">
        <v>203</v>
      </c>
      <c r="F220" t="s">
        <v>25</v>
      </c>
      <c r="G220" t="s">
        <v>71</v>
      </c>
      <c r="H220">
        <v>1</v>
      </c>
      <c r="J220" t="s">
        <v>17</v>
      </c>
    </row>
    <row r="221" spans="1:10" x14ac:dyDescent="0.3">
      <c r="D221">
        <v>187065</v>
      </c>
      <c r="E221">
        <v>237</v>
      </c>
      <c r="F221" t="s">
        <v>25</v>
      </c>
      <c r="G221" t="s">
        <v>71</v>
      </c>
      <c r="H221">
        <v>1</v>
      </c>
      <c r="J221" t="s">
        <v>17</v>
      </c>
    </row>
    <row r="222" spans="1:10" x14ac:dyDescent="0.3">
      <c r="D222">
        <v>187062</v>
      </c>
      <c r="E222">
        <v>234</v>
      </c>
      <c r="F222" t="s">
        <v>25</v>
      </c>
      <c r="G222" t="s">
        <v>71</v>
      </c>
      <c r="H222">
        <v>1</v>
      </c>
      <c r="I222" t="s">
        <v>29</v>
      </c>
      <c r="J222" t="s">
        <v>17</v>
      </c>
    </row>
    <row r="224" spans="1:10" x14ac:dyDescent="0.3">
      <c r="A224" s="2">
        <v>46203</v>
      </c>
      <c r="B224">
        <v>18872</v>
      </c>
      <c r="C224" t="s">
        <v>15</v>
      </c>
      <c r="D224">
        <v>187551</v>
      </c>
      <c r="E224">
        <v>9901</v>
      </c>
      <c r="F224" t="s">
        <v>16</v>
      </c>
      <c r="G224" t="s">
        <v>71</v>
      </c>
      <c r="H224">
        <v>1</v>
      </c>
      <c r="J224" t="s">
        <v>17</v>
      </c>
    </row>
    <row r="225" spans="1:10" x14ac:dyDescent="0.3">
      <c r="D225">
        <v>187739</v>
      </c>
      <c r="E225">
        <v>10090</v>
      </c>
      <c r="F225" t="s">
        <v>16</v>
      </c>
      <c r="G225" t="s">
        <v>71</v>
      </c>
      <c r="H225">
        <v>1</v>
      </c>
      <c r="J225" t="s">
        <v>17</v>
      </c>
    </row>
    <row r="226" spans="1:10" x14ac:dyDescent="0.3">
      <c r="D226">
        <v>187560</v>
      </c>
      <c r="E226">
        <v>9894</v>
      </c>
      <c r="F226" t="s">
        <v>16</v>
      </c>
      <c r="G226" t="s">
        <v>71</v>
      </c>
      <c r="H226">
        <v>1</v>
      </c>
      <c r="J226" t="s">
        <v>17</v>
      </c>
    </row>
    <row r="227" spans="1:10" x14ac:dyDescent="0.3">
      <c r="D227">
        <v>186572</v>
      </c>
      <c r="E227">
        <v>8995</v>
      </c>
      <c r="F227" t="s">
        <v>16</v>
      </c>
      <c r="G227" t="s">
        <v>71</v>
      </c>
      <c r="H227">
        <v>1</v>
      </c>
      <c r="J227" t="s">
        <v>17</v>
      </c>
    </row>
    <row r="228" spans="1:10" x14ac:dyDescent="0.3">
      <c r="D228">
        <v>187642</v>
      </c>
      <c r="E228">
        <v>269</v>
      </c>
      <c r="F228" t="s">
        <v>25</v>
      </c>
      <c r="G228" t="s">
        <v>71</v>
      </c>
      <c r="H228">
        <v>1</v>
      </c>
      <c r="J228" t="s">
        <v>17</v>
      </c>
    </row>
    <row r="229" spans="1:10" x14ac:dyDescent="0.3">
      <c r="D229">
        <v>187643</v>
      </c>
      <c r="E229">
        <v>270</v>
      </c>
      <c r="F229" t="s">
        <v>25</v>
      </c>
      <c r="G229" t="s">
        <v>71</v>
      </c>
      <c r="H229">
        <v>1</v>
      </c>
      <c r="J229" t="s">
        <v>17</v>
      </c>
    </row>
    <row r="230" spans="1:10" x14ac:dyDescent="0.3">
      <c r="D230">
        <v>187636</v>
      </c>
      <c r="E230">
        <v>276</v>
      </c>
      <c r="F230" t="s">
        <v>25</v>
      </c>
      <c r="G230" t="s">
        <v>71</v>
      </c>
      <c r="H230">
        <v>1</v>
      </c>
      <c r="J230" t="s">
        <v>17</v>
      </c>
    </row>
    <row r="231" spans="1:10" x14ac:dyDescent="0.3">
      <c r="D231">
        <v>187678</v>
      </c>
      <c r="E231">
        <v>443</v>
      </c>
      <c r="F231" t="s">
        <v>49</v>
      </c>
      <c r="G231" t="s">
        <v>71</v>
      </c>
      <c r="H231">
        <v>1</v>
      </c>
      <c r="I231" t="s">
        <v>20</v>
      </c>
      <c r="J231" t="s">
        <v>17</v>
      </c>
    </row>
    <row r="233" spans="1:10" x14ac:dyDescent="0.3">
      <c r="A233" s="2">
        <v>46203</v>
      </c>
      <c r="B233">
        <v>18745</v>
      </c>
      <c r="C233" t="s">
        <v>15</v>
      </c>
      <c r="D233">
        <v>187676</v>
      </c>
      <c r="E233">
        <v>444</v>
      </c>
      <c r="F233" t="s">
        <v>49</v>
      </c>
      <c r="G233" t="s">
        <v>71</v>
      </c>
      <c r="H233">
        <v>1</v>
      </c>
      <c r="J233" t="s">
        <v>17</v>
      </c>
    </row>
    <row r="234" spans="1:10" x14ac:dyDescent="0.3">
      <c r="D234">
        <v>187677</v>
      </c>
      <c r="E234">
        <v>442</v>
      </c>
      <c r="F234" t="s">
        <v>49</v>
      </c>
      <c r="G234" t="s">
        <v>71</v>
      </c>
      <c r="H234">
        <v>1</v>
      </c>
      <c r="J234" t="s">
        <v>17</v>
      </c>
    </row>
    <row r="235" spans="1:10" x14ac:dyDescent="0.3">
      <c r="D235">
        <v>187446</v>
      </c>
      <c r="E235">
        <v>357</v>
      </c>
      <c r="F235" t="s">
        <v>45</v>
      </c>
      <c r="G235" t="s">
        <v>71</v>
      </c>
      <c r="H235">
        <v>1</v>
      </c>
      <c r="I235" t="s">
        <v>40</v>
      </c>
      <c r="J235" t="s">
        <v>61</v>
      </c>
    </row>
  </sheetData>
  <mergeCells count="3">
    <mergeCell ref="A2:N2"/>
    <mergeCell ref="A1:N1"/>
    <mergeCell ref="A3:N3"/>
  </mergeCells>
  <conditionalFormatting sqref="J4">
    <cfRule type="containsText" dxfId="117" priority="7" operator="containsText" text="LEHENGA">
      <formula>NOT(ISERROR(SEARCH("LEHENGA",J4)))</formula>
    </cfRule>
    <cfRule type="containsText" dxfId="116" priority="8" operator="containsText" text="YES">
      <formula>NOT(ISERROR(SEARCH("YES",J4)))</formula>
    </cfRule>
    <cfRule type="containsText" dxfId="115" priority="9" operator="containsText" text="NO">
      <formula>NOT(ISERROR(SEARCH("NO",J4)))</formula>
    </cfRule>
    <cfRule type="containsText" dxfId="114" priority="13" operator="containsText" text="YES">
      <formula>NOT(ISERROR(SEARCH("YES",J4)))</formula>
    </cfRule>
    <cfRule type="containsText" dxfId="113" priority="14" operator="containsText" text="NO">
      <formula>NOT(ISERROR(SEARCH("NO",J4)))</formula>
    </cfRule>
    <cfRule type="containsText" dxfId="112" priority="15" operator="containsText" text="YES">
      <formula>NOT(ISERROR(SEARCH("YES",J4)))</formula>
    </cfRule>
    <cfRule type="containsText" dxfId="111" priority="16" operator="containsText" text="NO">
      <formula>NOT(ISERROR(SEARCH("NO",J4)))</formula>
    </cfRule>
    <cfRule type="containsText" dxfId="110" priority="17" operator="containsText" text="YES">
      <formula>NOT(ISERROR(SEARCH("YES",J4)))</formula>
    </cfRule>
  </conditionalFormatting>
  <conditionalFormatting sqref="J6:J16 J18:J25 J27:J28 J30:J34 J36:J43 J45:J50 J52:J55 J57:J222 J224:J231 J233:J235">
    <cfRule type="containsText" dxfId="109" priority="1" operator="containsText" text="LEHENGA">
      <formula>NOT(ISERROR(SEARCH("LEHENGA",J6)))</formula>
    </cfRule>
    <cfRule type="containsText" dxfId="108" priority="2" operator="containsText" text="YES">
      <formula>NOT(ISERROR(SEARCH("YES",J6)))</formula>
    </cfRule>
    <cfRule type="containsText" dxfId="107" priority="3" operator="containsText" text="NO">
      <formula>NOT(ISERROR(SEARCH("NO",J6)))</formula>
    </cfRule>
  </conditionalFormatting>
  <conditionalFormatting sqref="N4">
    <cfRule type="cellIs" dxfId="106" priority="10" operator="equal">
      <formula>"OK"</formula>
    </cfRule>
    <cfRule type="cellIs" dxfId="105" priority="11" operator="equal">
      <formula>"YES"</formula>
    </cfRule>
    <cfRule type="cellIs" dxfId="104" priority="12" operator="equal">
      <formula>"NO"</formula>
    </cfRule>
  </conditionalFormatting>
  <conditionalFormatting sqref="N6:N16">
    <cfRule type="cellIs" dxfId="103" priority="4" operator="equal">
      <formula>"OK"</formula>
    </cfRule>
    <cfRule type="cellIs" dxfId="102" priority="5" operator="equal">
      <formula>"YES"</formula>
    </cfRule>
    <cfRule type="cellIs" dxfId="101" priority="6" operator="equal">
      <formula>"NO"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15C0-67A4-4B1B-B6B8-2ABC4AAF2C02}">
  <dimension ref="A1:N43"/>
  <sheetViews>
    <sheetView topLeftCell="A21" workbookViewId="0">
      <selection activeCell="C37" sqref="C37"/>
    </sheetView>
  </sheetViews>
  <sheetFormatPr defaultRowHeight="14.4" x14ac:dyDescent="0.3"/>
  <cols>
    <col min="1" max="1" width="19.5546875" bestFit="1" customWidth="1"/>
    <col min="2" max="2" width="20.33203125" bestFit="1" customWidth="1"/>
    <col min="3" max="3" width="36.88671875" bestFit="1" customWidth="1"/>
    <col min="4" max="4" width="7.109375" bestFit="1" customWidth="1"/>
    <col min="6" max="6" width="16" bestFit="1" customWidth="1"/>
    <col min="7" max="7" width="19.33203125" bestFit="1" customWidth="1"/>
    <col min="9" max="9" width="14.44140625" bestFit="1" customWidth="1"/>
    <col min="10" max="10" width="15.44140625" bestFit="1" customWidth="1"/>
    <col min="11" max="11" width="18.109375" bestFit="1" customWidth="1"/>
    <col min="12" max="12" width="30.6640625" bestFit="1" customWidth="1"/>
    <col min="13" max="13" width="35.109375" bestFit="1" customWidth="1"/>
    <col min="14" max="14" width="28" bestFit="1" customWidth="1"/>
  </cols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  <row r="6" spans="1:14" x14ac:dyDescent="0.3">
      <c r="A6" s="2">
        <v>46204</v>
      </c>
      <c r="B6">
        <v>2891</v>
      </c>
      <c r="C6" t="s">
        <v>15</v>
      </c>
      <c r="D6">
        <v>187223</v>
      </c>
      <c r="E6">
        <v>9527</v>
      </c>
      <c r="F6" t="s">
        <v>16</v>
      </c>
      <c r="G6" t="s">
        <v>71</v>
      </c>
      <c r="H6">
        <v>1</v>
      </c>
      <c r="J6" t="s">
        <v>17</v>
      </c>
    </row>
    <row r="7" spans="1:14" x14ac:dyDescent="0.3">
      <c r="D7">
        <v>186575</v>
      </c>
      <c r="E7">
        <v>8951</v>
      </c>
      <c r="F7" t="s">
        <v>16</v>
      </c>
      <c r="G7" t="s">
        <v>71</v>
      </c>
      <c r="H7">
        <v>1</v>
      </c>
      <c r="J7" t="s">
        <v>17</v>
      </c>
    </row>
    <row r="8" spans="1:14" x14ac:dyDescent="0.3">
      <c r="D8">
        <v>187221</v>
      </c>
      <c r="E8">
        <v>9533</v>
      </c>
      <c r="F8" t="s">
        <v>16</v>
      </c>
      <c r="G8" t="s">
        <v>71</v>
      </c>
      <c r="H8">
        <v>1</v>
      </c>
      <c r="J8" t="s">
        <v>17</v>
      </c>
    </row>
    <row r="9" spans="1:14" x14ac:dyDescent="0.3">
      <c r="D9">
        <v>187222</v>
      </c>
      <c r="E9">
        <v>9528</v>
      </c>
      <c r="F9" t="s">
        <v>16</v>
      </c>
      <c r="G9" t="s">
        <v>71</v>
      </c>
      <c r="H9">
        <v>1</v>
      </c>
      <c r="J9" t="s">
        <v>17</v>
      </c>
    </row>
    <row r="10" spans="1:14" x14ac:dyDescent="0.3">
      <c r="D10">
        <v>186577</v>
      </c>
      <c r="E10">
        <v>8928</v>
      </c>
      <c r="F10" t="s">
        <v>16</v>
      </c>
      <c r="G10" t="s">
        <v>71</v>
      </c>
      <c r="H10">
        <v>1</v>
      </c>
      <c r="J10" t="s">
        <v>17</v>
      </c>
    </row>
    <row r="11" spans="1:14" x14ac:dyDescent="0.3">
      <c r="D11">
        <v>187171</v>
      </c>
      <c r="E11">
        <v>9487</v>
      </c>
      <c r="F11" t="s">
        <v>16</v>
      </c>
      <c r="G11" t="s">
        <v>71</v>
      </c>
      <c r="H11">
        <v>1</v>
      </c>
      <c r="J11" t="s">
        <v>17</v>
      </c>
    </row>
    <row r="12" spans="1:14" x14ac:dyDescent="0.3">
      <c r="D12">
        <v>187170</v>
      </c>
      <c r="E12">
        <v>9445</v>
      </c>
      <c r="F12" t="s">
        <v>16</v>
      </c>
      <c r="G12" t="s">
        <v>71</v>
      </c>
      <c r="H12">
        <v>1</v>
      </c>
      <c r="I12" t="s">
        <v>29</v>
      </c>
      <c r="J12" t="s">
        <v>17</v>
      </c>
    </row>
    <row r="14" spans="1:14" x14ac:dyDescent="0.3">
      <c r="A14" s="2">
        <v>46205</v>
      </c>
      <c r="B14">
        <v>18748</v>
      </c>
      <c r="C14" t="s">
        <v>15</v>
      </c>
      <c r="D14">
        <v>185699</v>
      </c>
      <c r="E14">
        <v>2983</v>
      </c>
      <c r="F14" t="s">
        <v>105</v>
      </c>
      <c r="G14" t="s">
        <v>73</v>
      </c>
      <c r="H14">
        <v>1</v>
      </c>
      <c r="J14" t="s">
        <v>17</v>
      </c>
      <c r="K14" s="2">
        <v>46205</v>
      </c>
      <c r="L14" t="s">
        <v>106</v>
      </c>
    </row>
    <row r="15" spans="1:14" x14ac:dyDescent="0.3">
      <c r="D15">
        <v>187127</v>
      </c>
      <c r="E15">
        <v>544</v>
      </c>
      <c r="F15" t="s">
        <v>18</v>
      </c>
      <c r="G15" t="s">
        <v>71</v>
      </c>
      <c r="H15">
        <v>1</v>
      </c>
      <c r="J15" t="s">
        <v>61</v>
      </c>
    </row>
    <row r="16" spans="1:14" x14ac:dyDescent="0.3">
      <c r="D16">
        <v>187498</v>
      </c>
      <c r="E16">
        <v>9135</v>
      </c>
      <c r="F16" t="s">
        <v>59</v>
      </c>
      <c r="G16" t="s">
        <v>71</v>
      </c>
      <c r="H16">
        <v>1</v>
      </c>
      <c r="J16" t="s">
        <v>17</v>
      </c>
    </row>
    <row r="17" spans="1:10" x14ac:dyDescent="0.3">
      <c r="D17">
        <v>187486</v>
      </c>
      <c r="E17">
        <v>87</v>
      </c>
      <c r="F17" t="s">
        <v>28</v>
      </c>
      <c r="G17" t="s">
        <v>71</v>
      </c>
      <c r="H17">
        <v>1</v>
      </c>
      <c r="J17" t="s">
        <v>61</v>
      </c>
    </row>
    <row r="18" spans="1:10" x14ac:dyDescent="0.3">
      <c r="D18">
        <v>187494</v>
      </c>
      <c r="E18">
        <v>9187</v>
      </c>
      <c r="F18" t="s">
        <v>59</v>
      </c>
      <c r="G18" t="s">
        <v>71</v>
      </c>
      <c r="H18">
        <v>1</v>
      </c>
      <c r="J18" t="s">
        <v>17</v>
      </c>
    </row>
    <row r="19" spans="1:10" x14ac:dyDescent="0.3">
      <c r="D19">
        <v>187484</v>
      </c>
      <c r="E19">
        <v>90</v>
      </c>
      <c r="F19" t="s">
        <v>28</v>
      </c>
      <c r="G19" t="s">
        <v>71</v>
      </c>
      <c r="H19">
        <v>1</v>
      </c>
      <c r="I19" t="s">
        <v>33</v>
      </c>
      <c r="J19" t="s">
        <v>61</v>
      </c>
    </row>
    <row r="21" spans="1:10" x14ac:dyDescent="0.3">
      <c r="A21" s="2">
        <v>46210</v>
      </c>
      <c r="B21">
        <v>18767</v>
      </c>
      <c r="C21" t="s">
        <v>15</v>
      </c>
      <c r="D21">
        <v>187740</v>
      </c>
      <c r="E21">
        <v>10052</v>
      </c>
      <c r="F21" t="s">
        <v>16</v>
      </c>
      <c r="G21" t="s">
        <v>71</v>
      </c>
      <c r="H21">
        <v>1</v>
      </c>
      <c r="J21" t="s">
        <v>61</v>
      </c>
    </row>
    <row r="22" spans="1:10" x14ac:dyDescent="0.3">
      <c r="D22">
        <v>187622</v>
      </c>
      <c r="E22">
        <v>9922</v>
      </c>
      <c r="F22" t="s">
        <v>16</v>
      </c>
      <c r="G22" t="s">
        <v>71</v>
      </c>
      <c r="H22">
        <v>1</v>
      </c>
      <c r="J22" t="s">
        <v>61</v>
      </c>
    </row>
    <row r="23" spans="1:10" x14ac:dyDescent="0.3">
      <c r="D23">
        <v>187329</v>
      </c>
      <c r="E23">
        <v>9567</v>
      </c>
      <c r="F23" t="s">
        <v>16</v>
      </c>
      <c r="G23" t="s">
        <v>71</v>
      </c>
      <c r="H23">
        <v>1</v>
      </c>
      <c r="J23" t="s">
        <v>61</v>
      </c>
    </row>
    <row r="24" spans="1:10" x14ac:dyDescent="0.3">
      <c r="D24">
        <v>183979</v>
      </c>
      <c r="E24">
        <v>7094</v>
      </c>
      <c r="F24" t="s">
        <v>59</v>
      </c>
      <c r="G24" t="s">
        <v>71</v>
      </c>
      <c r="H24">
        <v>1</v>
      </c>
      <c r="J24" t="s">
        <v>61</v>
      </c>
    </row>
    <row r="25" spans="1:10" x14ac:dyDescent="0.3">
      <c r="D25">
        <v>183978</v>
      </c>
      <c r="E25">
        <v>7643</v>
      </c>
      <c r="F25" t="s">
        <v>59</v>
      </c>
      <c r="G25" t="s">
        <v>71</v>
      </c>
      <c r="H25">
        <v>1</v>
      </c>
      <c r="J25" t="s">
        <v>61</v>
      </c>
    </row>
    <row r="26" spans="1:10" x14ac:dyDescent="0.3">
      <c r="D26">
        <v>187495</v>
      </c>
      <c r="E26">
        <v>9178</v>
      </c>
      <c r="F26" t="s">
        <v>59</v>
      </c>
      <c r="G26" t="s">
        <v>71</v>
      </c>
      <c r="H26">
        <v>1</v>
      </c>
      <c r="I26" t="s">
        <v>33</v>
      </c>
      <c r="J26" t="s">
        <v>61</v>
      </c>
    </row>
    <row r="28" spans="1:10" x14ac:dyDescent="0.3">
      <c r="A28" s="2">
        <v>46210</v>
      </c>
      <c r="B28">
        <v>18772</v>
      </c>
      <c r="C28" t="s">
        <v>15</v>
      </c>
      <c r="D28">
        <v>175961</v>
      </c>
      <c r="E28">
        <v>15</v>
      </c>
      <c r="F28" t="s">
        <v>108</v>
      </c>
      <c r="G28" t="s">
        <v>71</v>
      </c>
      <c r="H28">
        <v>1</v>
      </c>
      <c r="J28" t="s">
        <v>61</v>
      </c>
    </row>
    <row r="29" spans="1:10" x14ac:dyDescent="0.3">
      <c r="D29">
        <v>187076</v>
      </c>
      <c r="E29">
        <v>2475</v>
      </c>
      <c r="F29" t="s">
        <v>64</v>
      </c>
      <c r="G29" t="s">
        <v>71</v>
      </c>
      <c r="H29">
        <v>1</v>
      </c>
      <c r="J29" t="s">
        <v>61</v>
      </c>
    </row>
    <row r="30" spans="1:10" x14ac:dyDescent="0.3">
      <c r="D30">
        <v>187078</v>
      </c>
      <c r="E30">
        <v>2473</v>
      </c>
      <c r="F30" t="s">
        <v>64</v>
      </c>
      <c r="G30" t="s">
        <v>71</v>
      </c>
      <c r="H30">
        <v>1</v>
      </c>
      <c r="J30" t="s">
        <v>61</v>
      </c>
    </row>
    <row r="31" spans="1:10" x14ac:dyDescent="0.3">
      <c r="D31">
        <v>186866</v>
      </c>
      <c r="E31">
        <v>2413</v>
      </c>
      <c r="F31" t="s">
        <v>64</v>
      </c>
      <c r="G31" t="s">
        <v>71</v>
      </c>
      <c r="H31">
        <v>1</v>
      </c>
      <c r="J31" t="s">
        <v>61</v>
      </c>
    </row>
    <row r="32" spans="1:10" x14ac:dyDescent="0.3">
      <c r="D32">
        <v>187061</v>
      </c>
      <c r="E32">
        <v>233</v>
      </c>
      <c r="F32" t="s">
        <v>25</v>
      </c>
      <c r="G32" t="s">
        <v>71</v>
      </c>
      <c r="H32">
        <v>1</v>
      </c>
      <c r="J32" t="s">
        <v>61</v>
      </c>
    </row>
    <row r="33" spans="1:10" x14ac:dyDescent="0.3">
      <c r="D33">
        <v>187064</v>
      </c>
      <c r="E33">
        <v>236</v>
      </c>
      <c r="F33" t="s">
        <v>25</v>
      </c>
      <c r="G33" t="s">
        <v>71</v>
      </c>
      <c r="H33">
        <v>1</v>
      </c>
      <c r="J33" t="s">
        <v>61</v>
      </c>
    </row>
    <row r="34" spans="1:10" x14ac:dyDescent="0.3">
      <c r="D34">
        <v>187638</v>
      </c>
      <c r="E34">
        <v>274</v>
      </c>
      <c r="F34" t="s">
        <v>25</v>
      </c>
      <c r="G34" t="s">
        <v>71</v>
      </c>
      <c r="H34">
        <v>1</v>
      </c>
      <c r="J34" t="s">
        <v>61</v>
      </c>
    </row>
    <row r="35" spans="1:10" x14ac:dyDescent="0.3">
      <c r="D35">
        <v>187077</v>
      </c>
      <c r="E35">
        <v>2474</v>
      </c>
      <c r="F35" t="s">
        <v>64</v>
      </c>
      <c r="G35" t="s">
        <v>71</v>
      </c>
      <c r="H35">
        <v>1</v>
      </c>
      <c r="J35" t="s">
        <v>61</v>
      </c>
    </row>
    <row r="36" spans="1:10" x14ac:dyDescent="0.3">
      <c r="D36">
        <v>187641</v>
      </c>
      <c r="E36">
        <v>268</v>
      </c>
      <c r="F36" t="s">
        <v>25</v>
      </c>
      <c r="G36" t="s">
        <v>71</v>
      </c>
      <c r="H36">
        <v>1</v>
      </c>
      <c r="I36" t="s">
        <v>109</v>
      </c>
      <c r="J36" t="s">
        <v>61</v>
      </c>
    </row>
    <row r="38" spans="1:10" x14ac:dyDescent="0.3">
      <c r="A38" s="2">
        <v>46212</v>
      </c>
      <c r="B38">
        <v>2914</v>
      </c>
      <c r="C38" t="s">
        <v>15</v>
      </c>
      <c r="D38">
        <v>188138</v>
      </c>
      <c r="E38">
        <v>10305</v>
      </c>
      <c r="F38" t="s">
        <v>16</v>
      </c>
      <c r="G38" t="s">
        <v>71</v>
      </c>
      <c r="H38">
        <v>1</v>
      </c>
      <c r="J38" t="s">
        <v>61</v>
      </c>
    </row>
    <row r="39" spans="1:10" x14ac:dyDescent="0.3">
      <c r="D39">
        <v>187952</v>
      </c>
      <c r="E39">
        <v>530</v>
      </c>
      <c r="F39" t="s">
        <v>19</v>
      </c>
      <c r="G39" t="s">
        <v>71</v>
      </c>
      <c r="H39">
        <v>1</v>
      </c>
      <c r="J39" t="s">
        <v>61</v>
      </c>
    </row>
    <row r="40" spans="1:10" x14ac:dyDescent="0.3">
      <c r="D40">
        <v>188139</v>
      </c>
      <c r="E40">
        <v>10332</v>
      </c>
      <c r="F40" t="s">
        <v>16</v>
      </c>
      <c r="G40" t="s">
        <v>71</v>
      </c>
      <c r="H40">
        <v>1</v>
      </c>
      <c r="J40" t="s">
        <v>61</v>
      </c>
    </row>
    <row r="41" spans="1:10" x14ac:dyDescent="0.3">
      <c r="D41">
        <v>188038</v>
      </c>
      <c r="E41">
        <v>10248</v>
      </c>
      <c r="F41" t="s">
        <v>16</v>
      </c>
      <c r="G41" t="s">
        <v>71</v>
      </c>
      <c r="H41">
        <v>1</v>
      </c>
      <c r="J41" t="s">
        <v>61</v>
      </c>
    </row>
    <row r="42" spans="1:10" x14ac:dyDescent="0.3">
      <c r="D42">
        <v>187957</v>
      </c>
      <c r="E42">
        <v>529</v>
      </c>
      <c r="F42" t="s">
        <v>19</v>
      </c>
      <c r="G42" t="s">
        <v>71</v>
      </c>
      <c r="H42">
        <v>1</v>
      </c>
      <c r="J42" t="s">
        <v>61</v>
      </c>
    </row>
    <row r="43" spans="1:10" x14ac:dyDescent="0.3">
      <c r="D43">
        <v>187950</v>
      </c>
      <c r="E43">
        <v>531</v>
      </c>
      <c r="F43" t="s">
        <v>19</v>
      </c>
      <c r="G43" t="s">
        <v>71</v>
      </c>
      <c r="H43">
        <v>1</v>
      </c>
      <c r="I43" t="s">
        <v>33</v>
      </c>
      <c r="J43" t="s">
        <v>61</v>
      </c>
    </row>
  </sheetData>
  <mergeCells count="3">
    <mergeCell ref="A1:N1"/>
    <mergeCell ref="A2:N2"/>
    <mergeCell ref="A3:N3"/>
  </mergeCells>
  <conditionalFormatting sqref="J1:J1048576 K21:K27">
    <cfRule type="cellIs" dxfId="100" priority="1" operator="equal">
      <formula>"YES"</formula>
    </cfRule>
    <cfRule type="cellIs" dxfId="99" priority="2" operator="equal">
      <formula>"NO"</formula>
    </cfRule>
  </conditionalFormatting>
  <conditionalFormatting sqref="J4">
    <cfRule type="containsText" dxfId="98" priority="3" operator="containsText" text="LEHENGA">
      <formula>NOT(ISERROR(SEARCH("LEHENGA",J4)))</formula>
    </cfRule>
    <cfRule type="containsText" dxfId="97" priority="4" operator="containsText" text="YES">
      <formula>NOT(ISERROR(SEARCH("YES",J4)))</formula>
    </cfRule>
    <cfRule type="containsText" dxfId="96" priority="5" operator="containsText" text="NO">
      <formula>NOT(ISERROR(SEARCH("NO",J4)))</formula>
    </cfRule>
    <cfRule type="containsText" dxfId="95" priority="9" operator="containsText" text="YES">
      <formula>NOT(ISERROR(SEARCH("YES",J4)))</formula>
    </cfRule>
    <cfRule type="containsText" dxfId="94" priority="10" operator="containsText" text="NO">
      <formula>NOT(ISERROR(SEARCH("NO",J4)))</formula>
    </cfRule>
    <cfRule type="containsText" dxfId="93" priority="11" operator="containsText" text="YES">
      <formula>NOT(ISERROR(SEARCH("YES",J4)))</formula>
    </cfRule>
    <cfRule type="containsText" dxfId="92" priority="12" operator="containsText" text="NO">
      <formula>NOT(ISERROR(SEARCH("NO",J4)))</formula>
    </cfRule>
    <cfRule type="containsText" dxfId="91" priority="13" operator="containsText" text="YES">
      <formula>NOT(ISERROR(SEARCH("YES",J4)))</formula>
    </cfRule>
  </conditionalFormatting>
  <conditionalFormatting sqref="N4">
    <cfRule type="cellIs" dxfId="90" priority="6" operator="equal">
      <formula>"OK"</formula>
    </cfRule>
    <cfRule type="cellIs" dxfId="89" priority="7" operator="equal">
      <formula>"YES"</formula>
    </cfRule>
    <cfRule type="cellIs" dxfId="88" priority="8" operator="equal">
      <formula>"NO"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4E8D-4F6A-488A-84F1-4E9DCB66EE0E}">
  <dimension ref="A1:N4"/>
  <sheetViews>
    <sheetView workbookViewId="0">
      <selection activeCell="M24" sqref="M24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87" priority="1" operator="containsText" text="LEHENGA">
      <formula>NOT(ISERROR(SEARCH("LEHENGA",J4)))</formula>
    </cfRule>
    <cfRule type="containsText" dxfId="86" priority="2" operator="containsText" text="YES">
      <formula>NOT(ISERROR(SEARCH("YES",J4)))</formula>
    </cfRule>
    <cfRule type="containsText" dxfId="85" priority="3" operator="containsText" text="NO">
      <formula>NOT(ISERROR(SEARCH("NO",J4)))</formula>
    </cfRule>
    <cfRule type="containsText" dxfId="84" priority="7" operator="containsText" text="YES">
      <formula>NOT(ISERROR(SEARCH("YES",J4)))</formula>
    </cfRule>
    <cfRule type="containsText" dxfId="83" priority="8" operator="containsText" text="NO">
      <formula>NOT(ISERROR(SEARCH("NO",J4)))</formula>
    </cfRule>
    <cfRule type="containsText" dxfId="82" priority="9" operator="containsText" text="YES">
      <formula>NOT(ISERROR(SEARCH("YES",J4)))</formula>
    </cfRule>
    <cfRule type="containsText" dxfId="81" priority="10" operator="containsText" text="NO">
      <formula>NOT(ISERROR(SEARCH("NO",J4)))</formula>
    </cfRule>
    <cfRule type="containsText" dxfId="80" priority="11" operator="containsText" text="YES">
      <formula>NOT(ISERROR(SEARCH("YES",J4)))</formula>
    </cfRule>
  </conditionalFormatting>
  <conditionalFormatting sqref="N4">
    <cfRule type="cellIs" dxfId="79" priority="4" operator="equal">
      <formula>"OK"</formula>
    </cfRule>
    <cfRule type="cellIs" dxfId="78" priority="5" operator="equal">
      <formula>"YES"</formula>
    </cfRule>
    <cfRule type="cellIs" dxfId="77" priority="6" operator="equal">
      <formula>"NO"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FF04-8073-44F0-A20B-6B6D770F037F}">
  <dimension ref="A1:N4"/>
  <sheetViews>
    <sheetView workbookViewId="0">
      <selection activeCell="L26" sqref="L26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76" priority="1" operator="containsText" text="LEHENGA">
      <formula>NOT(ISERROR(SEARCH("LEHENGA",J4)))</formula>
    </cfRule>
    <cfRule type="containsText" dxfId="75" priority="2" operator="containsText" text="YES">
      <formula>NOT(ISERROR(SEARCH("YES",J4)))</formula>
    </cfRule>
    <cfRule type="containsText" dxfId="74" priority="3" operator="containsText" text="NO">
      <formula>NOT(ISERROR(SEARCH("NO",J4)))</formula>
    </cfRule>
    <cfRule type="containsText" dxfId="73" priority="7" operator="containsText" text="YES">
      <formula>NOT(ISERROR(SEARCH("YES",J4)))</formula>
    </cfRule>
    <cfRule type="containsText" dxfId="72" priority="8" operator="containsText" text="NO">
      <formula>NOT(ISERROR(SEARCH("NO",J4)))</formula>
    </cfRule>
    <cfRule type="containsText" dxfId="71" priority="9" operator="containsText" text="YES">
      <formula>NOT(ISERROR(SEARCH("YES",J4)))</formula>
    </cfRule>
    <cfRule type="containsText" dxfId="70" priority="10" operator="containsText" text="NO">
      <formula>NOT(ISERROR(SEARCH("NO",J4)))</formula>
    </cfRule>
    <cfRule type="containsText" dxfId="69" priority="11" operator="containsText" text="YES">
      <formula>NOT(ISERROR(SEARCH("YES",J4)))</formula>
    </cfRule>
  </conditionalFormatting>
  <conditionalFormatting sqref="N4">
    <cfRule type="cellIs" dxfId="68" priority="4" operator="equal">
      <formula>"OK"</formula>
    </cfRule>
    <cfRule type="cellIs" dxfId="67" priority="5" operator="equal">
      <formula>"YES"</formula>
    </cfRule>
    <cfRule type="cellIs" dxfId="66" priority="6" operator="equal">
      <formula>"NO"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8328-0FC5-459E-A44E-3EB82387BECA}">
  <dimension ref="A1:N4"/>
  <sheetViews>
    <sheetView workbookViewId="0">
      <selection activeCell="N27" sqref="N27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65" priority="1" operator="containsText" text="LEHENGA">
      <formula>NOT(ISERROR(SEARCH("LEHENGA",J4)))</formula>
    </cfRule>
    <cfRule type="containsText" dxfId="64" priority="2" operator="containsText" text="YES">
      <formula>NOT(ISERROR(SEARCH("YES",J4)))</formula>
    </cfRule>
    <cfRule type="containsText" dxfId="63" priority="3" operator="containsText" text="NO">
      <formula>NOT(ISERROR(SEARCH("NO",J4)))</formula>
    </cfRule>
    <cfRule type="containsText" dxfId="62" priority="7" operator="containsText" text="YES">
      <formula>NOT(ISERROR(SEARCH("YES",J4)))</formula>
    </cfRule>
    <cfRule type="containsText" dxfId="61" priority="8" operator="containsText" text="NO">
      <formula>NOT(ISERROR(SEARCH("NO",J4)))</formula>
    </cfRule>
    <cfRule type="containsText" dxfId="60" priority="9" operator="containsText" text="YES">
      <formula>NOT(ISERROR(SEARCH("YES",J4)))</formula>
    </cfRule>
    <cfRule type="containsText" dxfId="59" priority="10" operator="containsText" text="NO">
      <formula>NOT(ISERROR(SEARCH("NO",J4)))</formula>
    </cfRule>
    <cfRule type="containsText" dxfId="58" priority="11" operator="containsText" text="YES">
      <formula>NOT(ISERROR(SEARCH("YES",J4)))</formula>
    </cfRule>
  </conditionalFormatting>
  <conditionalFormatting sqref="N4">
    <cfRule type="cellIs" dxfId="57" priority="4" operator="equal">
      <formula>"OK"</formula>
    </cfRule>
    <cfRule type="cellIs" dxfId="56" priority="5" operator="equal">
      <formula>"YES"</formula>
    </cfRule>
    <cfRule type="cellIs" dxfId="55" priority="6" operator="equal">
      <formula>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1E68-4D64-4F5A-9BC5-A37C39BD5EFD}">
  <dimension ref="A1:N4"/>
  <sheetViews>
    <sheetView workbookViewId="0">
      <selection activeCell="M23" sqref="M23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54" priority="1" operator="containsText" text="LEHENGA">
      <formula>NOT(ISERROR(SEARCH("LEHENGA",J4)))</formula>
    </cfRule>
    <cfRule type="containsText" dxfId="53" priority="2" operator="containsText" text="YES">
      <formula>NOT(ISERROR(SEARCH("YES",J4)))</formula>
    </cfRule>
    <cfRule type="containsText" dxfId="52" priority="3" operator="containsText" text="NO">
      <formula>NOT(ISERROR(SEARCH("NO",J4)))</formula>
    </cfRule>
    <cfRule type="containsText" dxfId="51" priority="7" operator="containsText" text="YES">
      <formula>NOT(ISERROR(SEARCH("YES",J4)))</formula>
    </cfRule>
    <cfRule type="containsText" dxfId="50" priority="8" operator="containsText" text="NO">
      <formula>NOT(ISERROR(SEARCH("NO",J4)))</formula>
    </cfRule>
    <cfRule type="containsText" dxfId="49" priority="9" operator="containsText" text="YES">
      <formula>NOT(ISERROR(SEARCH("YES",J4)))</formula>
    </cfRule>
    <cfRule type="containsText" dxfId="48" priority="10" operator="containsText" text="NO">
      <formula>NOT(ISERROR(SEARCH("NO",J4)))</formula>
    </cfRule>
    <cfRule type="containsText" dxfId="47" priority="11" operator="containsText" text="YES">
      <formula>NOT(ISERROR(SEARCH("YES",J4)))</formula>
    </cfRule>
  </conditionalFormatting>
  <conditionalFormatting sqref="N4">
    <cfRule type="cellIs" dxfId="46" priority="4" operator="equal">
      <formula>"OK"</formula>
    </cfRule>
    <cfRule type="cellIs" dxfId="45" priority="5" operator="equal">
      <formula>"YES"</formula>
    </cfRule>
    <cfRule type="cellIs" dxfId="44" priority="6" operator="equal">
      <formula>"NO"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B7BC-F00D-4FB9-9E66-05A8004ECAEA}">
  <dimension ref="A1:N4"/>
  <sheetViews>
    <sheetView workbookViewId="0">
      <selection activeCell="N25" sqref="N25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43" priority="1" operator="containsText" text="LEHENGA">
      <formula>NOT(ISERROR(SEARCH("LEHENGA",J4)))</formula>
    </cfRule>
    <cfRule type="containsText" dxfId="42" priority="2" operator="containsText" text="YES">
      <formula>NOT(ISERROR(SEARCH("YES",J4)))</formula>
    </cfRule>
    <cfRule type="containsText" dxfId="41" priority="3" operator="containsText" text="NO">
      <formula>NOT(ISERROR(SEARCH("NO",J4)))</formula>
    </cfRule>
    <cfRule type="containsText" dxfId="40" priority="7" operator="containsText" text="YES">
      <formula>NOT(ISERROR(SEARCH("YES",J4)))</formula>
    </cfRule>
    <cfRule type="containsText" dxfId="39" priority="8" operator="containsText" text="NO">
      <formula>NOT(ISERROR(SEARCH("NO",J4)))</formula>
    </cfRule>
    <cfRule type="containsText" dxfId="38" priority="9" operator="containsText" text="YES">
      <formula>NOT(ISERROR(SEARCH("YES",J4)))</formula>
    </cfRule>
    <cfRule type="containsText" dxfId="37" priority="10" operator="containsText" text="NO">
      <formula>NOT(ISERROR(SEARCH("NO",J4)))</formula>
    </cfRule>
    <cfRule type="containsText" dxfId="36" priority="11" operator="containsText" text="YES">
      <formula>NOT(ISERROR(SEARCH("YES",J4)))</formula>
    </cfRule>
  </conditionalFormatting>
  <conditionalFormatting sqref="N4">
    <cfRule type="cellIs" dxfId="35" priority="4" operator="equal">
      <formula>"OK"</formula>
    </cfRule>
    <cfRule type="cellIs" dxfId="34" priority="5" operator="equal">
      <formula>"YES"</formula>
    </cfRule>
    <cfRule type="cellIs" dxfId="33" priority="6" operator="equal">
      <formula>"NO"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5330-D4D6-4B43-84A9-B041BD1A2027}">
  <dimension ref="A1:N4"/>
  <sheetViews>
    <sheetView topLeftCell="A2" workbookViewId="0">
      <selection activeCell="M29" sqref="M29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32" priority="1" operator="containsText" text="LEHENGA">
      <formula>NOT(ISERROR(SEARCH("LEHENGA",J4)))</formula>
    </cfRule>
    <cfRule type="containsText" dxfId="31" priority="2" operator="containsText" text="YES">
      <formula>NOT(ISERROR(SEARCH("YES",J4)))</formula>
    </cfRule>
    <cfRule type="containsText" dxfId="30" priority="3" operator="containsText" text="NO">
      <formula>NOT(ISERROR(SEARCH("NO",J4)))</formula>
    </cfRule>
    <cfRule type="containsText" dxfId="29" priority="7" operator="containsText" text="YES">
      <formula>NOT(ISERROR(SEARCH("YES",J4)))</formula>
    </cfRule>
    <cfRule type="containsText" dxfId="28" priority="8" operator="containsText" text="NO">
      <formula>NOT(ISERROR(SEARCH("NO",J4)))</formula>
    </cfRule>
    <cfRule type="containsText" dxfId="27" priority="9" operator="containsText" text="YES">
      <formula>NOT(ISERROR(SEARCH("YES",J4)))</formula>
    </cfRule>
    <cfRule type="containsText" dxfId="26" priority="10" operator="containsText" text="NO">
      <formula>NOT(ISERROR(SEARCH("NO",J4)))</formula>
    </cfRule>
    <cfRule type="containsText" dxfId="25" priority="11" operator="containsText" text="YES">
      <formula>NOT(ISERROR(SEARCH("YES",J4)))</formula>
    </cfRule>
  </conditionalFormatting>
  <conditionalFormatting sqref="N4">
    <cfRule type="cellIs" dxfId="24" priority="4" operator="equal">
      <formula>"OK"</formula>
    </cfRule>
    <cfRule type="cellIs" dxfId="23" priority="5" operator="equal">
      <formula>"YES"</formula>
    </cfRule>
    <cfRule type="cellIs" dxfId="22" priority="6" operator="equal">
      <formula>"NO"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624A-5004-40B4-AD56-3870BE3CAAD1}">
  <dimension ref="A1:N4"/>
  <sheetViews>
    <sheetView workbookViewId="0">
      <selection activeCell="N24" sqref="N24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21" priority="1" operator="containsText" text="LEHENGA">
      <formula>NOT(ISERROR(SEARCH("LEHENGA",J4)))</formula>
    </cfRule>
    <cfRule type="containsText" dxfId="20" priority="2" operator="containsText" text="YES">
      <formula>NOT(ISERROR(SEARCH("YES",J4)))</formula>
    </cfRule>
    <cfRule type="containsText" dxfId="19" priority="3" operator="containsText" text="NO">
      <formula>NOT(ISERROR(SEARCH("NO",J4)))</formula>
    </cfRule>
    <cfRule type="containsText" dxfId="18" priority="7" operator="containsText" text="YES">
      <formula>NOT(ISERROR(SEARCH("YES",J4)))</formula>
    </cfRule>
    <cfRule type="containsText" dxfId="17" priority="8" operator="containsText" text="NO">
      <formula>NOT(ISERROR(SEARCH("NO",J4)))</formula>
    </cfRule>
    <cfRule type="containsText" dxfId="16" priority="9" operator="containsText" text="YES">
      <formula>NOT(ISERROR(SEARCH("YES",J4)))</formula>
    </cfRule>
    <cfRule type="containsText" dxfId="15" priority="10" operator="containsText" text="NO">
      <formula>NOT(ISERROR(SEARCH("NO",J4)))</formula>
    </cfRule>
    <cfRule type="containsText" dxfId="14" priority="11" operator="containsText" text="YES">
      <formula>NOT(ISERROR(SEARCH("YES",J4)))</formula>
    </cfRule>
  </conditionalFormatting>
  <conditionalFormatting sqref="N4">
    <cfRule type="cellIs" dxfId="13" priority="4" operator="equal">
      <formula>"OK"</formula>
    </cfRule>
    <cfRule type="cellIs" dxfId="12" priority="5" operator="equal">
      <formula>"YES"</formula>
    </cfRule>
    <cfRule type="cellIs" dxfId="11" priority="6" operator="equal">
      <formula>"NO"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0AAA-17CA-470F-ABEC-7EE4793F4944}">
  <dimension ref="A1:N4"/>
  <sheetViews>
    <sheetView workbookViewId="0">
      <selection activeCell="K22" sqref="K22"/>
    </sheetView>
  </sheetViews>
  <sheetFormatPr defaultRowHeight="14.4" x14ac:dyDescent="0.3"/>
  <sheetData>
    <row r="1" spans="1:14" ht="21" x14ac:dyDescent="0.4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18" x14ac:dyDescent="0.35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14" ht="15.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69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</row>
  </sheetData>
  <mergeCells count="3">
    <mergeCell ref="A1:N1"/>
    <mergeCell ref="A2:N2"/>
    <mergeCell ref="A3:N3"/>
  </mergeCells>
  <conditionalFormatting sqref="J4">
    <cfRule type="containsText" dxfId="10" priority="1" operator="containsText" text="LEHENGA">
      <formula>NOT(ISERROR(SEARCH("LEHENGA",J4)))</formula>
    </cfRule>
    <cfRule type="containsText" dxfId="9" priority="2" operator="containsText" text="YES">
      <formula>NOT(ISERROR(SEARCH("YES",J4)))</formula>
    </cfRule>
    <cfRule type="containsText" dxfId="8" priority="3" operator="containsText" text="NO">
      <formula>NOT(ISERROR(SEARCH("NO",J4)))</formula>
    </cfRule>
    <cfRule type="containsText" dxfId="7" priority="7" operator="containsText" text="YES">
      <formula>NOT(ISERROR(SEARCH("YES",J4)))</formula>
    </cfRule>
    <cfRule type="containsText" dxfId="6" priority="8" operator="containsText" text="NO">
      <formula>NOT(ISERROR(SEARCH("NO",J4)))</formula>
    </cfRule>
    <cfRule type="containsText" dxfId="5" priority="9" operator="containsText" text="YES">
      <formula>NOT(ISERROR(SEARCH("YES",J4)))</formula>
    </cfRule>
    <cfRule type="containsText" dxfId="4" priority="10" operator="containsText" text="NO">
      <formula>NOT(ISERROR(SEARCH("NO",J4)))</formula>
    </cfRule>
    <cfRule type="containsText" dxfId="3" priority="11" operator="containsText" text="YES">
      <formula>NOT(ISERROR(SEARCH("YES",J4)))</formula>
    </cfRule>
  </conditionalFormatting>
  <conditionalFormatting sqref="N4">
    <cfRule type="cellIs" dxfId="2" priority="4" operator="equal">
      <formula>"OK"</formula>
    </cfRule>
    <cfRule type="cellIs" dxfId="1" priority="5" operator="equal">
      <formula>"YES"</formula>
    </cfRule>
    <cfRule type="cellIs" dxfId="0" priority="6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INVOICE CALCULATOR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  <vt:lpstr>JANUARY 2027</vt:lpstr>
      <vt:lpstr>FEBRUARY 2027</vt:lpstr>
      <vt:lpstr>MARCH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Jain</dc:creator>
  <cp:lastModifiedBy>Kapil Jain</cp:lastModifiedBy>
  <dcterms:created xsi:type="dcterms:W3CDTF">2026-06-30T08:34:59Z</dcterms:created>
  <dcterms:modified xsi:type="dcterms:W3CDTF">2026-07-09T15:43:04Z</dcterms:modified>
</cp:coreProperties>
</file>